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ll\Desktop\My Business\"/>
    </mc:Choice>
  </mc:AlternateContent>
  <bookViews>
    <workbookView xWindow="0" yWindow="0" windowWidth="19200" windowHeight="6520" activeTab="2" xr2:uid="{00000000-000D-0000-FFFF-FFFF00000000}"/>
  </bookViews>
  <sheets>
    <sheet name="Item Master" sheetId="1" r:id="rId1"/>
    <sheet name="Master SKU " sheetId="2" r:id="rId2"/>
    <sheet name="Pur_23-05" sheetId="4" r:id="rId3"/>
    <sheet name="Resource" sheetId="3" r:id="rId4"/>
  </sheets>
  <definedNames>
    <definedName name="_xlnm._FilterDatabase" localSheetId="1" hidden="1">'Master SKU '!$A$1:$N$93</definedName>
    <definedName name="_xlnm._FilterDatabase" localSheetId="2" hidden="1">'Pur_23-05'!$A$1:$P$37</definedName>
  </definedNames>
  <calcPr calcId="191029"/>
</workbook>
</file>

<file path=xl/calcChain.xml><?xml version="1.0" encoding="utf-8"?>
<calcChain xmlns="http://schemas.openxmlformats.org/spreadsheetml/2006/main">
  <c r="L37" i="4" l="1"/>
  <c r="G37" i="4"/>
  <c r="N37" i="4" s="1"/>
  <c r="L36" i="4"/>
  <c r="G36" i="4"/>
  <c r="N36" i="4" s="1"/>
  <c r="L35" i="4"/>
  <c r="G35" i="4"/>
  <c r="N35" i="4" s="1"/>
  <c r="M37" i="4" l="1"/>
  <c r="M35" i="4"/>
  <c r="M36" i="4"/>
  <c r="G32" i="4"/>
  <c r="G33" i="4"/>
  <c r="G34" i="4"/>
  <c r="G31" i="4"/>
  <c r="L30" i="4"/>
  <c r="G30" i="4"/>
  <c r="L29" i="4"/>
  <c r="G29" i="4"/>
  <c r="L28" i="4"/>
  <c r="G28" i="4"/>
  <c r="L27" i="4"/>
  <c r="G27" i="4"/>
  <c r="L26" i="4"/>
  <c r="G26" i="4"/>
  <c r="L25" i="4"/>
  <c r="G25" i="4"/>
  <c r="L24" i="4"/>
  <c r="G24" i="4"/>
  <c r="L23" i="4"/>
  <c r="G23" i="4"/>
  <c r="L22" i="4"/>
  <c r="G22" i="4"/>
  <c r="L21" i="4"/>
  <c r="G21" i="4"/>
  <c r="L20" i="4"/>
  <c r="G20" i="4"/>
  <c r="M25" i="4" l="1"/>
  <c r="M29" i="4"/>
  <c r="M28" i="4"/>
  <c r="M23" i="4"/>
  <c r="M27" i="4"/>
  <c r="N24" i="4"/>
  <c r="N27" i="4"/>
  <c r="N31" i="4"/>
  <c r="N21" i="4"/>
  <c r="N22" i="4"/>
  <c r="M22" i="4"/>
  <c r="N26" i="4"/>
  <c r="N30" i="4"/>
  <c r="N23" i="4"/>
  <c r="M26" i="4"/>
  <c r="M30" i="4"/>
  <c r="M20" i="4"/>
  <c r="N34" i="4"/>
  <c r="M24" i="4"/>
  <c r="N28" i="4"/>
  <c r="N33" i="4"/>
  <c r="N32" i="4"/>
  <c r="M21" i="4"/>
  <c r="N25" i="4"/>
  <c r="N29" i="4"/>
  <c r="N20" i="4"/>
  <c r="L19" i="4"/>
  <c r="G19" i="4"/>
  <c r="L18" i="4"/>
  <c r="G18" i="4"/>
  <c r="L17" i="4"/>
  <c r="G17" i="4"/>
  <c r="L16" i="4"/>
  <c r="G16" i="4"/>
  <c r="L15" i="4"/>
  <c r="G15" i="4"/>
  <c r="L14" i="4"/>
  <c r="G14" i="4"/>
  <c r="L13" i="4"/>
  <c r="G13" i="4"/>
  <c r="L11" i="4"/>
  <c r="G11" i="4"/>
  <c r="L12" i="4"/>
  <c r="G12" i="4"/>
  <c r="L10" i="4"/>
  <c r="G10" i="4"/>
  <c r="L9" i="4"/>
  <c r="G9" i="4"/>
  <c r="L8" i="4"/>
  <c r="G8" i="4"/>
  <c r="L7" i="4"/>
  <c r="G7" i="4"/>
  <c r="L6" i="4"/>
  <c r="G6" i="4"/>
  <c r="L5" i="4"/>
  <c r="G5" i="4"/>
  <c r="L4" i="4"/>
  <c r="G4" i="4"/>
  <c r="L3" i="4"/>
  <c r="G3" i="4"/>
  <c r="L2" i="4"/>
  <c r="G2" i="4"/>
  <c r="N2" i="4" s="1"/>
  <c r="G9" i="2"/>
  <c r="N9" i="2" s="1"/>
  <c r="L93" i="2"/>
  <c r="G93" i="2"/>
  <c r="N93" i="2" s="1"/>
  <c r="L92" i="2"/>
  <c r="G92" i="2"/>
  <c r="N92" i="2" s="1"/>
  <c r="L91" i="2"/>
  <c r="G91" i="2"/>
  <c r="N91" i="2" s="1"/>
  <c r="L90" i="2"/>
  <c r="G90" i="2"/>
  <c r="N90" i="2" s="1"/>
  <c r="L89" i="2"/>
  <c r="G89" i="2"/>
  <c r="N89" i="2" s="1"/>
  <c r="L88" i="2"/>
  <c r="G88" i="2"/>
  <c r="N88" i="2" s="1"/>
  <c r="L87" i="2"/>
  <c r="G87" i="2"/>
  <c r="N87" i="2" s="1"/>
  <c r="L86" i="2"/>
  <c r="G86" i="2"/>
  <c r="N86" i="2" s="1"/>
  <c r="L85" i="2"/>
  <c r="G85" i="2"/>
  <c r="N85" i="2" s="1"/>
  <c r="L84" i="2"/>
  <c r="G84" i="2"/>
  <c r="N84" i="2" s="1"/>
  <c r="L83" i="2"/>
  <c r="G83" i="2"/>
  <c r="N83" i="2" s="1"/>
  <c r="L82" i="2"/>
  <c r="G82" i="2"/>
  <c r="N82" i="2" s="1"/>
  <c r="L81" i="2"/>
  <c r="G81" i="2"/>
  <c r="N81" i="2" s="1"/>
  <c r="L80" i="2"/>
  <c r="G80" i="2"/>
  <c r="N80" i="2" s="1"/>
  <c r="L79" i="2"/>
  <c r="G79" i="2"/>
  <c r="N79" i="2" s="1"/>
  <c r="L78" i="2"/>
  <c r="G78" i="2"/>
  <c r="N78" i="2" s="1"/>
  <c r="L77" i="2"/>
  <c r="G77" i="2"/>
  <c r="N77" i="2" s="1"/>
  <c r="L76" i="2"/>
  <c r="G76" i="2"/>
  <c r="N76" i="2" s="1"/>
  <c r="L75" i="2"/>
  <c r="G75" i="2"/>
  <c r="N75" i="2" s="1"/>
  <c r="L74" i="2"/>
  <c r="G74" i="2"/>
  <c r="N74" i="2" s="1"/>
  <c r="L73" i="2"/>
  <c r="G73" i="2"/>
  <c r="N73" i="2" s="1"/>
  <c r="L72" i="2"/>
  <c r="G72" i="2"/>
  <c r="N72" i="2" s="1"/>
  <c r="L71" i="2"/>
  <c r="G71" i="2"/>
  <c r="N71" i="2" s="1"/>
  <c r="L70" i="2"/>
  <c r="G70" i="2"/>
  <c r="N70" i="2" s="1"/>
  <c r="L69" i="2"/>
  <c r="G69" i="2"/>
  <c r="N69" i="2" s="1"/>
  <c r="L68" i="2"/>
  <c r="G68" i="2"/>
  <c r="N68" i="2" s="1"/>
  <c r="L67" i="2"/>
  <c r="G67" i="2"/>
  <c r="N67" i="2" s="1"/>
  <c r="L66" i="2"/>
  <c r="G66" i="2"/>
  <c r="N66" i="2" s="1"/>
  <c r="L65" i="2"/>
  <c r="G65" i="2"/>
  <c r="N65" i="2" s="1"/>
  <c r="L64" i="2"/>
  <c r="G64" i="2"/>
  <c r="N64" i="2" s="1"/>
  <c r="L63" i="2"/>
  <c r="G63" i="2"/>
  <c r="N63" i="2" s="1"/>
  <c r="L62" i="2"/>
  <c r="G62" i="2"/>
  <c r="N62" i="2" s="1"/>
  <c r="L61" i="2"/>
  <c r="G61" i="2"/>
  <c r="N61" i="2" s="1"/>
  <c r="L60" i="2"/>
  <c r="G60" i="2"/>
  <c r="N60" i="2" s="1"/>
  <c r="L59" i="2"/>
  <c r="G59" i="2"/>
  <c r="N59" i="2" s="1"/>
  <c r="L58" i="2"/>
  <c r="G58" i="2"/>
  <c r="N58" i="2" s="1"/>
  <c r="L57" i="2"/>
  <c r="G57" i="2"/>
  <c r="N57" i="2" s="1"/>
  <c r="L56" i="2"/>
  <c r="G56" i="2"/>
  <c r="N56" i="2" s="1"/>
  <c r="L55" i="2"/>
  <c r="G55" i="2"/>
  <c r="N55" i="2" s="1"/>
  <c r="L54" i="2"/>
  <c r="G54" i="2"/>
  <c r="N54" i="2" s="1"/>
  <c r="L53" i="2"/>
  <c r="G53" i="2"/>
  <c r="N53" i="2" s="1"/>
  <c r="L52" i="2"/>
  <c r="G52" i="2"/>
  <c r="N52" i="2" s="1"/>
  <c r="L51" i="2"/>
  <c r="G51" i="2"/>
  <c r="N51" i="2" s="1"/>
  <c r="L50" i="2"/>
  <c r="G50" i="2"/>
  <c r="N50" i="2" s="1"/>
  <c r="L49" i="2"/>
  <c r="G49" i="2"/>
  <c r="N49" i="2" s="1"/>
  <c r="L48" i="2"/>
  <c r="G48" i="2"/>
  <c r="N48" i="2" s="1"/>
  <c r="L47" i="2"/>
  <c r="G47" i="2"/>
  <c r="N47" i="2" s="1"/>
  <c r="L46" i="2"/>
  <c r="G46" i="2"/>
  <c r="N46" i="2" s="1"/>
  <c r="L45" i="2"/>
  <c r="G45" i="2"/>
  <c r="N45" i="2" s="1"/>
  <c r="L44" i="2"/>
  <c r="G44" i="2"/>
  <c r="N44" i="2" s="1"/>
  <c r="L43" i="2"/>
  <c r="G43" i="2"/>
  <c r="N43" i="2" s="1"/>
  <c r="L42" i="2"/>
  <c r="G42" i="2"/>
  <c r="N42" i="2" s="1"/>
  <c r="L41" i="2"/>
  <c r="G41" i="2"/>
  <c r="N41" i="2" s="1"/>
  <c r="L40" i="2"/>
  <c r="G40" i="2"/>
  <c r="N40" i="2" s="1"/>
  <c r="L39" i="2"/>
  <c r="G39" i="2"/>
  <c r="N39" i="2" s="1"/>
  <c r="L38" i="2"/>
  <c r="G38" i="2"/>
  <c r="N38" i="2" s="1"/>
  <c r="L37" i="2"/>
  <c r="G37" i="2"/>
  <c r="N37" i="2" s="1"/>
  <c r="L36" i="2"/>
  <c r="G36" i="2"/>
  <c r="N36" i="2" s="1"/>
  <c r="L35" i="2"/>
  <c r="G35" i="2"/>
  <c r="N35" i="2" s="1"/>
  <c r="L34" i="2"/>
  <c r="G34" i="2"/>
  <c r="N34" i="2" s="1"/>
  <c r="L33" i="2"/>
  <c r="G33" i="2"/>
  <c r="N33" i="2" s="1"/>
  <c r="L32" i="2"/>
  <c r="G32" i="2"/>
  <c r="N32" i="2" s="1"/>
  <c r="L31" i="2"/>
  <c r="G31" i="2"/>
  <c r="N31" i="2" s="1"/>
  <c r="L30" i="2"/>
  <c r="G30" i="2"/>
  <c r="N30" i="2" s="1"/>
  <c r="L29" i="2"/>
  <c r="G29" i="2"/>
  <c r="N29" i="2" s="1"/>
  <c r="L28" i="2"/>
  <c r="G28" i="2"/>
  <c r="N28" i="2" s="1"/>
  <c r="L27" i="2"/>
  <c r="G27" i="2"/>
  <c r="N27" i="2" s="1"/>
  <c r="L26" i="2"/>
  <c r="G26" i="2"/>
  <c r="N26" i="2" s="1"/>
  <c r="L25" i="2"/>
  <c r="G25" i="2"/>
  <c r="N25" i="2" s="1"/>
  <c r="L24" i="2"/>
  <c r="G24" i="2"/>
  <c r="N24" i="2" s="1"/>
  <c r="L23" i="2"/>
  <c r="G23" i="2"/>
  <c r="N23" i="2" s="1"/>
  <c r="L22" i="2"/>
  <c r="G22" i="2"/>
  <c r="N22" i="2" s="1"/>
  <c r="L21" i="2"/>
  <c r="G21" i="2"/>
  <c r="N21" i="2" s="1"/>
  <c r="L20" i="2"/>
  <c r="G20" i="2"/>
  <c r="N20" i="2" s="1"/>
  <c r="L19" i="2"/>
  <c r="G19" i="2"/>
  <c r="N19" i="2" s="1"/>
  <c r="L18" i="2"/>
  <c r="G18" i="2"/>
  <c r="N18" i="2" s="1"/>
  <c r="L17" i="2"/>
  <c r="G17" i="2"/>
  <c r="N17" i="2" s="1"/>
  <c r="L16" i="2"/>
  <c r="G16" i="2"/>
  <c r="N16" i="2" s="1"/>
  <c r="L15" i="2"/>
  <c r="G15" i="2"/>
  <c r="N15" i="2" s="1"/>
  <c r="L14" i="2"/>
  <c r="G14" i="2"/>
  <c r="N14" i="2" s="1"/>
  <c r="L13" i="2"/>
  <c r="G13" i="2"/>
  <c r="N13" i="2" s="1"/>
  <c r="L12" i="2"/>
  <c r="G12" i="2"/>
  <c r="N12" i="2" s="1"/>
  <c r="L11" i="2"/>
  <c r="G11" i="2"/>
  <c r="N11" i="2" s="1"/>
  <c r="L10" i="2"/>
  <c r="G10" i="2"/>
  <c r="N10" i="2" s="1"/>
  <c r="L9" i="2"/>
  <c r="L8" i="2"/>
  <c r="G8" i="2"/>
  <c r="N8" i="2" s="1"/>
  <c r="L7" i="2"/>
  <c r="G7" i="2"/>
  <c r="N7" i="2" s="1"/>
  <c r="L6" i="2"/>
  <c r="G6" i="2"/>
  <c r="N6" i="2" s="1"/>
  <c r="L5" i="2"/>
  <c r="G5" i="2"/>
  <c r="N5" i="2" s="1"/>
  <c r="L4" i="2"/>
  <c r="G4" i="2"/>
  <c r="N4" i="2" s="1"/>
  <c r="L3" i="2"/>
  <c r="G3" i="2"/>
  <c r="N3" i="2" s="1"/>
  <c r="L2" i="2"/>
  <c r="G2" i="2"/>
  <c r="N2" i="2" s="1"/>
  <c r="M3" i="4" l="1"/>
  <c r="N12" i="4"/>
  <c r="M17" i="4"/>
  <c r="N17" i="4"/>
  <c r="M7" i="4"/>
  <c r="N4" i="4"/>
  <c r="N14" i="4"/>
  <c r="M4" i="4"/>
  <c r="M8" i="4"/>
  <c r="M12" i="4"/>
  <c r="M14" i="4"/>
  <c r="N8" i="4"/>
  <c r="N18" i="4"/>
  <c r="N9" i="4"/>
  <c r="M18" i="4"/>
  <c r="M2" i="4"/>
  <c r="N6" i="4"/>
  <c r="M9" i="4"/>
  <c r="M11" i="4"/>
  <c r="N19" i="4"/>
  <c r="N15" i="4"/>
  <c r="M5" i="4"/>
  <c r="M6" i="4"/>
  <c r="M16" i="4"/>
  <c r="M19" i="4"/>
  <c r="N5" i="4"/>
  <c r="N11" i="4"/>
  <c r="N3" i="4"/>
  <c r="N7" i="4"/>
  <c r="M10" i="4"/>
  <c r="M13" i="4"/>
  <c r="N16" i="4"/>
  <c r="M15" i="4"/>
  <c r="N10" i="4"/>
  <c r="N13" i="4"/>
  <c r="M4" i="2"/>
  <c r="M25" i="2"/>
  <c r="M29" i="2"/>
  <c r="M18" i="2"/>
  <c r="M60" i="2"/>
  <c r="M64" i="2"/>
  <c r="M49" i="2"/>
  <c r="M82" i="2"/>
  <c r="M50" i="2"/>
  <c r="M57" i="2"/>
  <c r="M61" i="2"/>
  <c r="M65" i="2"/>
  <c r="M17" i="2"/>
  <c r="M28" i="2"/>
  <c r="M32" i="2"/>
  <c r="M81" i="2"/>
  <c r="M92" i="2"/>
  <c r="M13" i="2"/>
  <c r="M16" i="2"/>
  <c r="M34" i="2"/>
  <c r="M41" i="2"/>
  <c r="M45" i="2"/>
  <c r="M48" i="2"/>
  <c r="M66" i="2"/>
  <c r="M73" i="2"/>
  <c r="M77" i="2"/>
  <c r="M80" i="2"/>
  <c r="M84" i="2"/>
  <c r="M2" i="2"/>
  <c r="M20" i="2"/>
  <c r="M31" i="2"/>
  <c r="M52" i="2"/>
  <c r="M63" i="2"/>
  <c r="M89" i="2"/>
  <c r="M93" i="2"/>
  <c r="M15" i="2"/>
  <c r="M36" i="2"/>
  <c r="M47" i="2"/>
  <c r="M68" i="2"/>
  <c r="M79" i="2"/>
  <c r="M12" i="2"/>
  <c r="M33" i="2"/>
  <c r="M44" i="2"/>
  <c r="M76" i="2"/>
  <c r="M9" i="2"/>
  <c r="M11" i="2"/>
  <c r="M14" i="2"/>
  <c r="M27" i="2"/>
  <c r="M30" i="2"/>
  <c r="M43" i="2"/>
  <c r="M46" i="2"/>
  <c r="M59" i="2"/>
  <c r="M62" i="2"/>
  <c r="M75" i="2"/>
  <c r="M78" i="2"/>
  <c r="M91" i="2"/>
  <c r="M5" i="2"/>
  <c r="M8" i="2"/>
  <c r="M21" i="2"/>
  <c r="M24" i="2"/>
  <c r="M37" i="2"/>
  <c r="M40" i="2"/>
  <c r="M53" i="2"/>
  <c r="M56" i="2"/>
  <c r="M69" i="2"/>
  <c r="M72" i="2"/>
  <c r="M85" i="2"/>
  <c r="M88" i="2"/>
  <c r="M3" i="2"/>
  <c r="M6" i="2"/>
  <c r="M19" i="2"/>
  <c r="M22" i="2"/>
  <c r="M35" i="2"/>
  <c r="M38" i="2"/>
  <c r="M51" i="2"/>
  <c r="M54" i="2"/>
  <c r="M67" i="2"/>
  <c r="M70" i="2"/>
  <c r="M83" i="2"/>
  <c r="M86" i="2"/>
  <c r="M7" i="2"/>
  <c r="M10" i="2"/>
  <c r="M23" i="2"/>
  <c r="M26" i="2"/>
  <c r="M39" i="2"/>
  <c r="M42" i="2"/>
  <c r="M55" i="2"/>
  <c r="M58" i="2"/>
  <c r="M71" i="2"/>
  <c r="M74" i="2"/>
  <c r="M87" i="2"/>
  <c r="M90" i="2"/>
</calcChain>
</file>

<file path=xl/sharedStrings.xml><?xml version="1.0" encoding="utf-8"?>
<sst xmlns="http://schemas.openxmlformats.org/spreadsheetml/2006/main" count="550" uniqueCount="256">
  <si>
    <t>Name</t>
  </si>
  <si>
    <t>Mrp</t>
  </si>
  <si>
    <t>Sell Price</t>
  </si>
  <si>
    <t>SJJ Diamond sugar 100gms</t>
  </si>
  <si>
    <t>SJJ Diamond sugar 250gms</t>
  </si>
  <si>
    <t>SJJ- Nylon till 100gms</t>
  </si>
  <si>
    <t>SJJ- Nylon till 50gms</t>
  </si>
  <si>
    <t>SJJ- PUMPKIN SEEDS 100GMS</t>
  </si>
  <si>
    <t>SJJ-Ajwain 100gms</t>
  </si>
  <si>
    <t>SJJ-Ajwain 50gms</t>
  </si>
  <si>
    <t>SJJ-ALMONDS 100gms</t>
  </si>
  <si>
    <t>SJJ-ALMONDS 1kg</t>
  </si>
  <si>
    <t>SJJ-ALMONDS 250gms</t>
  </si>
  <si>
    <t>SJJ-ALMONDS 500gms</t>
  </si>
  <si>
    <t>SJJ-ALMONDS 50gms</t>
  </si>
  <si>
    <t>SJJ-BAKING SODA 100gms</t>
  </si>
  <si>
    <t>SJJ-BAKING SODA 250gms</t>
  </si>
  <si>
    <t>SJJ-Black pepper 100gms</t>
  </si>
  <si>
    <t>SJJ-Black pepper 1kg</t>
  </si>
  <si>
    <t>SJJ-Black pepper 50gms</t>
  </si>
  <si>
    <t>SJJ-Black pepper250gms</t>
  </si>
  <si>
    <t>SJJ-BLACK TILL 100GMS</t>
  </si>
  <si>
    <t>SJJ-BLACK TILL 50GMS</t>
  </si>
  <si>
    <t>SJJ-Cardamon 250gms</t>
  </si>
  <si>
    <t>SJJ-CARDAMON 50GMS</t>
  </si>
  <si>
    <t>SJJ-CASHEW 100gms</t>
  </si>
  <si>
    <t>SJJ-CASHEW 1kg</t>
  </si>
  <si>
    <t>SJJ-CASHEW 250gms</t>
  </si>
  <si>
    <t>SJJ-CASHEW 500gms</t>
  </si>
  <si>
    <t>SJJ-CASHEW 50gms</t>
  </si>
  <si>
    <t>SJJ-CHIA SEEDS 100GMS</t>
  </si>
  <si>
    <t>SJJ-Cinnamon(Chakke)50GMS</t>
  </si>
  <si>
    <t>SJJ-CLOVES 100gms</t>
  </si>
  <si>
    <t>SJJ-CLOVES 50gms</t>
  </si>
  <si>
    <t>SJJ-CORNFLOUR 1KG</t>
  </si>
  <si>
    <t>SJJ-DHANIYA SEED 250gms</t>
  </si>
  <si>
    <t>SJJ-DHANIYA SEED 500gms</t>
  </si>
  <si>
    <t>SJJ-DHANIYA SEED 5kg</t>
  </si>
  <si>
    <t>SJJ-DHANIYA SEED REGULAR 100gms</t>
  </si>
  <si>
    <t>SJJ-DHANIYA SEED REGULAR 1kg</t>
  </si>
  <si>
    <t>SJJ-DHANIYA SEED REGULAR 250gms</t>
  </si>
  <si>
    <t>SJJ-DHANIYA SEED REGULAR 500gms</t>
  </si>
  <si>
    <t>SJJ-DHANIYA SEED(PATRANI)FINE 100gms</t>
  </si>
  <si>
    <t>SJJ-DHANIYA SEED(PATRANI)FINE 250gms</t>
  </si>
  <si>
    <t>SJJ-DHANIYA SEED(PATRANI)FINE 500gms</t>
  </si>
  <si>
    <t>SJJ-Diamond sugar 50gms</t>
  </si>
  <si>
    <t>SJJ-FLAX SEEDS 100GMS</t>
  </si>
  <si>
    <t>SJJ-JAGGERY 1kg</t>
  </si>
  <si>
    <t>SJJ-Jeera Whole 100GMS</t>
  </si>
  <si>
    <t>SJJ-Jeera Whole 1KG</t>
  </si>
  <si>
    <t>SJJ-Jeera Whole 250GMS</t>
  </si>
  <si>
    <t>SJJ-Jeera Whole 500GMS</t>
  </si>
  <si>
    <t>SJJ-Jeera Whole 50GMS</t>
  </si>
  <si>
    <t>SJJ-Jeera Whole LOOSE</t>
  </si>
  <si>
    <t>SJJ-KISHMISH 100gms</t>
  </si>
  <si>
    <t>SJJ-KISHMISH 1kg</t>
  </si>
  <si>
    <t>SJJ-KISHMISH 250gms</t>
  </si>
  <si>
    <t>SJJ-KISHMISH 500gms</t>
  </si>
  <si>
    <t>SJJ-KISHMISH 50gms</t>
  </si>
  <si>
    <t>SJJ-MENTHYA SEEDS 100gms</t>
  </si>
  <si>
    <t>SJJ-MENTHYA SEEDS 50gms</t>
  </si>
  <si>
    <t>SJJ-MENTHYA SEEDS Loose 1kg</t>
  </si>
  <si>
    <t>SJJ-MENTHYA SEEDS250gms</t>
  </si>
  <si>
    <t>SJJ-Musturd seeds 100GMS</t>
  </si>
  <si>
    <t>SJJ-Musturd seeds 1KG</t>
  </si>
  <si>
    <t>SJJ-Musturd seeds 500GMS</t>
  </si>
  <si>
    <t>SJJ-Musturd seeds 50GMS</t>
  </si>
  <si>
    <t>SJJ-Musturd seeds LOOSE</t>
  </si>
  <si>
    <t>SJJ-Musturd seeds250gms</t>
  </si>
  <si>
    <t>SJJ-Niger Seeds(Uchallu)100GMS</t>
  </si>
  <si>
    <t>SJJ-PISTA KERNEL 50GMS</t>
  </si>
  <si>
    <t>SJJ-POPPY SEEDS 50GMS</t>
  </si>
  <si>
    <t>SJJ-SABJA SEEDS 100GMS</t>
  </si>
  <si>
    <t>SJJ-SABUDANA 100gms</t>
  </si>
  <si>
    <t>SJJ-SABUDANA 1kg Loose</t>
  </si>
  <si>
    <t>SJJ-SABUDANA 250gms</t>
  </si>
  <si>
    <t>SJJ-SABUDANA 500gms</t>
  </si>
  <si>
    <t>SJJ-SABUDANA 50gms</t>
  </si>
  <si>
    <t>SJJ-SAUF 100gms</t>
  </si>
  <si>
    <t>SJJ-SAUF 250gms</t>
  </si>
  <si>
    <t>SJJ-SAUF 500gms</t>
  </si>
  <si>
    <t>SJJ-SAUF 50gms</t>
  </si>
  <si>
    <t>SJJ-STAR ANISE 100GMS</t>
  </si>
  <si>
    <t>SJJ-STAR ANISE 50GMS</t>
  </si>
  <si>
    <t>SJJ-SUNFLOWER SEEDS 100GMS</t>
  </si>
  <si>
    <t>SJJ-TEJ PATTA 50gms</t>
  </si>
  <si>
    <t>SJJ-TILL NATURAL 100gms</t>
  </si>
  <si>
    <t>SJJ-TILL NATURAL 250gms</t>
  </si>
  <si>
    <t>SJJ-TILL NATURAL 50gms</t>
  </si>
  <si>
    <t>SJJ-WATER MELON SEED 100gms</t>
  </si>
  <si>
    <t>SJJ-WATER MELON SEED 50gms</t>
  </si>
  <si>
    <t>SJJ-YELLOW MUSTURD SEED 100gms</t>
  </si>
  <si>
    <t>SJJ-YELLOW MUSTURD SEED 250gms</t>
  </si>
  <si>
    <t>SJJ-YELLOW MUSTURD SEED 50gms</t>
  </si>
  <si>
    <t>SUGAR 1kg</t>
  </si>
  <si>
    <t xml:space="preserve">Item </t>
  </si>
  <si>
    <t xml:space="preserve">Mama Price </t>
  </si>
  <si>
    <t xml:space="preserve">SKU ID </t>
  </si>
  <si>
    <t xml:space="preserve">My selling price </t>
  </si>
  <si>
    <t xml:space="preserve">Price In amazon </t>
  </si>
  <si>
    <t xml:space="preserve">Price in Zepto </t>
  </si>
  <si>
    <t xml:space="preserve">Price in Big basket </t>
  </si>
  <si>
    <t xml:space="preserve">Price in instamart </t>
  </si>
  <si>
    <t xml:space="preserve">Avg online price </t>
  </si>
  <si>
    <t xml:space="preserve">Customer saving </t>
  </si>
  <si>
    <t xml:space="preserve">My profit </t>
  </si>
  <si>
    <t>`</t>
  </si>
  <si>
    <t>MRP</t>
  </si>
  <si>
    <t xml:space="preserve">Diamond sugar(Mishri) </t>
  </si>
  <si>
    <t>Size(grms)</t>
  </si>
  <si>
    <t xml:space="preserve">Diamond sugar </t>
  </si>
  <si>
    <t xml:space="preserve">Nylon till </t>
  </si>
  <si>
    <t xml:space="preserve">Ajwain </t>
  </si>
  <si>
    <t xml:space="preserve">ALMONDS </t>
  </si>
  <si>
    <t>Cinnamon</t>
  </si>
  <si>
    <t>Loose</t>
  </si>
  <si>
    <t>1000 Loose</t>
  </si>
  <si>
    <t>SUGAR</t>
  </si>
  <si>
    <t>YELLOW MUSTURD SEED</t>
  </si>
  <si>
    <t>WATER MELON SEED</t>
  </si>
  <si>
    <t>TILL NATURAL</t>
  </si>
  <si>
    <t>TEJ PATTA</t>
  </si>
  <si>
    <t>SUNFLOWER SEEDS</t>
  </si>
  <si>
    <t>STAR ANISE</t>
  </si>
  <si>
    <t>SAUF</t>
  </si>
  <si>
    <t>SABUDANA</t>
  </si>
  <si>
    <t>SABJA SEEDS</t>
  </si>
  <si>
    <t>POPPY SEEDS</t>
  </si>
  <si>
    <t>PISTA KERNEL</t>
  </si>
  <si>
    <t>Niger Seeds(Uchallu)</t>
  </si>
  <si>
    <t>Musturd seeds</t>
  </si>
  <si>
    <t>MENTHYA SEEDS</t>
  </si>
  <si>
    <t>KISHMISH</t>
  </si>
  <si>
    <t>Jeera Whole</t>
  </si>
  <si>
    <t>JAGGERY</t>
  </si>
  <si>
    <t>FLAX SEEDS</t>
  </si>
  <si>
    <t>Diamond sugar</t>
  </si>
  <si>
    <t>DHANIYA SEED(PATRANI)FINE</t>
  </si>
  <si>
    <t>DHANIYA SEED REGULAR</t>
  </si>
  <si>
    <t xml:space="preserve">Category </t>
  </si>
  <si>
    <t>ALMONDS</t>
  </si>
  <si>
    <t>BAKING SODA</t>
  </si>
  <si>
    <t>Black pepper</t>
  </si>
  <si>
    <t>BLACK TILL</t>
  </si>
  <si>
    <t>Cardamon</t>
  </si>
  <si>
    <t>CARDAMON</t>
  </si>
  <si>
    <t>CASHEW</t>
  </si>
  <si>
    <t>CHIA SEEDS</t>
  </si>
  <si>
    <t xml:space="preserve">CLOVES </t>
  </si>
  <si>
    <t>CLOVES</t>
  </si>
  <si>
    <t>CORNFLOUR</t>
  </si>
  <si>
    <t>DHANIYA SEED</t>
  </si>
  <si>
    <t xml:space="preserve">Sugar </t>
  </si>
  <si>
    <t>Sugar</t>
  </si>
  <si>
    <t>Spices</t>
  </si>
  <si>
    <t xml:space="preserve">Super Food </t>
  </si>
  <si>
    <t>Dry fruits</t>
  </si>
  <si>
    <t>Baking</t>
  </si>
  <si>
    <t xml:space="preserve">PUMPKIN SEEDS </t>
  </si>
  <si>
    <t>SJJ-001</t>
  </si>
  <si>
    <t>SJJ-002</t>
  </si>
  <si>
    <t>SJJ-005</t>
  </si>
  <si>
    <t>SJJ-003</t>
  </si>
  <si>
    <t>SJJ-004</t>
  </si>
  <si>
    <t>SJJ-006</t>
  </si>
  <si>
    <t>SJJ-007</t>
  </si>
  <si>
    <t>SJJ-008</t>
  </si>
  <si>
    <t>SJJ-009</t>
  </si>
  <si>
    <t>SJJ-010</t>
  </si>
  <si>
    <t>SJJ-011</t>
  </si>
  <si>
    <t>SJJ-012</t>
  </si>
  <si>
    <t>SJJ-013</t>
  </si>
  <si>
    <t>SJJ-014</t>
  </si>
  <si>
    <t>SJJ-015</t>
  </si>
  <si>
    <t>SJJ-016</t>
  </si>
  <si>
    <t>SJJ-017</t>
  </si>
  <si>
    <t>SJJ-018</t>
  </si>
  <si>
    <t>SJJ-019</t>
  </si>
  <si>
    <t>SJJ-020</t>
  </si>
  <si>
    <t>SJJ-021</t>
  </si>
  <si>
    <t>SJJ-022</t>
  </si>
  <si>
    <t>SJJ-023</t>
  </si>
  <si>
    <t>SJJ-024</t>
  </si>
  <si>
    <t>SJJ-025</t>
  </si>
  <si>
    <t>SJJ-026</t>
  </si>
  <si>
    <t>SJJ-027</t>
  </si>
  <si>
    <t>SJJ-028</t>
  </si>
  <si>
    <t>SJJ-029</t>
  </si>
  <si>
    <t>SJJ-030</t>
  </si>
  <si>
    <t>SJJ-031</t>
  </si>
  <si>
    <t>SJJ-032</t>
  </si>
  <si>
    <t>SJJ-033</t>
  </si>
  <si>
    <t>SJJ-034</t>
  </si>
  <si>
    <t>SJJ-035</t>
  </si>
  <si>
    <t>SJJ-036</t>
  </si>
  <si>
    <t>SJJ-037</t>
  </si>
  <si>
    <t>SJJ-038</t>
  </si>
  <si>
    <t>SJJ-039</t>
  </si>
  <si>
    <t>SJJ-040</t>
  </si>
  <si>
    <t>SJJ-041</t>
  </si>
  <si>
    <t>SJJ-042</t>
  </si>
  <si>
    <t>SJJ-043</t>
  </si>
  <si>
    <t>SJJ-044</t>
  </si>
  <si>
    <t>SJJ-045</t>
  </si>
  <si>
    <t>SJJ-046</t>
  </si>
  <si>
    <t>SJJ-047</t>
  </si>
  <si>
    <t>SJJ-048</t>
  </si>
  <si>
    <t>SJJ-049</t>
  </si>
  <si>
    <t>SJJ-050</t>
  </si>
  <si>
    <t>SJJ-051</t>
  </si>
  <si>
    <t>SJJ-052</t>
  </si>
  <si>
    <t>SJJ-053</t>
  </si>
  <si>
    <t>SJJ-054</t>
  </si>
  <si>
    <t>SJJ-055</t>
  </si>
  <si>
    <t>SJJ-056</t>
  </si>
  <si>
    <t>SJJ-057</t>
  </si>
  <si>
    <t>SJJ-058</t>
  </si>
  <si>
    <t>SJJ-059</t>
  </si>
  <si>
    <t>SJJ-060</t>
  </si>
  <si>
    <t>SJJ-061</t>
  </si>
  <si>
    <t>SJJ-062</t>
  </si>
  <si>
    <t>SJJ-063</t>
  </si>
  <si>
    <t>SJJ-064</t>
  </si>
  <si>
    <t>SJJ-065</t>
  </si>
  <si>
    <t>SJJ-066</t>
  </si>
  <si>
    <t>SJJ-067</t>
  </si>
  <si>
    <t>SJJ-068</t>
  </si>
  <si>
    <t>SJJ-069</t>
  </si>
  <si>
    <t>SJJ-070</t>
  </si>
  <si>
    <t>SJJ-071</t>
  </si>
  <si>
    <t>SJJ-072</t>
  </si>
  <si>
    <t>SJJ-073</t>
  </si>
  <si>
    <t>SJJ-074</t>
  </si>
  <si>
    <t>SJJ-075</t>
  </si>
  <si>
    <t>SJJ-076</t>
  </si>
  <si>
    <t>SJJ-077</t>
  </si>
  <si>
    <t>SJJ-078</t>
  </si>
  <si>
    <t>SJJ-079</t>
  </si>
  <si>
    <t>SJJ-080</t>
  </si>
  <si>
    <t>SJJ-081</t>
  </si>
  <si>
    <t>SJJ-082</t>
  </si>
  <si>
    <t>SJJ-083</t>
  </si>
  <si>
    <t>SJJ-084</t>
  </si>
  <si>
    <t>SJJ-085</t>
  </si>
  <si>
    <t>SJJ-086</t>
  </si>
  <si>
    <t>SJJ-087</t>
  </si>
  <si>
    <t>SJJ-088</t>
  </si>
  <si>
    <t>SJJ-089</t>
  </si>
  <si>
    <t>SJJ-090</t>
  </si>
  <si>
    <t>SJJ-091</t>
  </si>
  <si>
    <t>SJJ-092</t>
  </si>
  <si>
    <t xml:space="preserve">Quantity( in grams) </t>
  </si>
  <si>
    <t xml:space="preserve">Madhuban Fox Nut </t>
  </si>
  <si>
    <t xml:space="preserve">Craves Fox Nut </t>
  </si>
  <si>
    <t xml:space="preserve">Stock Update </t>
  </si>
  <si>
    <t xml:space="preserve">Received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</si>
</sst>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>
    <font>
      <sz val="11"/>
      <color rgb="FF000000"/>
      <name val="Calibri"/>
      <charset val="134"/>
    </font>
    <font>
      <b/>
      <sz val="12"/>
      <color rgb="FF000000"/>
      <name val="Calibri"/>
      <charset val="134"/>
    </font>
    <font>
      <sz val="11"/>
      <color rgb="FF000000"/>
      <name val="Calibri"/>
      <family val="2"/>
    </font>
    <font>
      <b/>
      <sz val="10"/>
      <color rgb="FFFFFFFF"/>
      <name val="Arial"/>
      <charset val="1"/>
    </font>
    <font>
      <sz val="9"/>
      <name val="Arial"/>
      <charset val="1"/>
    </font>
    <font>
      <b/>
      <sz val="9"/>
      <name val="Arial"/>
      <charset val="1"/>
    </font>
  </fonts>
  <fills count="9">
    <fill>
      <patternFill patternType="none"/>
    </fill>
    <fill>
      <patternFill patternType="gray125"/>
    </fill>
    <fill>
      <patternFill patternType="solid">
        <fgColor rgb="FFFFD700"/>
        <bgColor rgb="FF000000"/>
      </patternFill>
    </fill>
    <fill>
      <patternFill patternType="solid">
        <fgColor rgb="FF1F4E79"/>
        <bgColor rgb="FF003366"/>
      </patternFill>
    </fill>
    <fill>
      <patternFill patternType="solid">
        <fgColor rgb="FFE2EFDA"/>
        <bgColor rgb="FFDDEEFF"/>
      </patternFill>
    </fill>
    <fill>
      <patternFill patternType="solid">
        <fgColor rgb="FFFCE4D6"/>
        <bgColor rgb="FFFFF2CC"/>
      </patternFill>
    </fill>
    <fill>
      <patternFill patternType="solid">
        <fgColor rgb="FFEDD9FE"/>
        <bgColor rgb="FFFCE4D6"/>
      </patternFill>
    </fill>
    <fill>
      <patternFill patternType="solid">
        <fgColor rgb="FFDDEEFF"/>
        <bgColor rgb="FFE2EFDA"/>
      </patternFill>
    </fill>
    <fill>
      <patternFill patternType="solid">
        <fgColor rgb="FFFFF2CC"/>
        <bgColor rgb="FFFCE4D6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left" vertical="top"/>
    </xf>
    <xf numFmtId="0" fontId="2" fillId="0" borderId="0" xfId="0" applyFont="1"/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164" fontId="5" fillId="4" borderId="1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3"/>
  <sheetViews>
    <sheetView workbookViewId="0">
      <selection activeCell="A86" sqref="A86"/>
    </sheetView>
  </sheetViews>
  <sheetFormatPr defaultColWidth="9" defaultRowHeight="14.5"/>
  <cols>
    <col min="1" max="1" width="33.453125" customWidth="1"/>
    <col min="2" max="2" width="8.54296875" customWidth="1"/>
    <col min="3" max="3" width="13" customWidth="1"/>
  </cols>
  <sheetData>
    <row r="1" spans="1:5" ht="15.5">
      <c r="A1" s="1" t="s">
        <v>0</v>
      </c>
      <c r="B1" s="1" t="s">
        <v>1</v>
      </c>
      <c r="C1" s="1" t="s">
        <v>2</v>
      </c>
    </row>
    <row r="2" spans="1:5">
      <c r="A2" s="2" t="s">
        <v>3</v>
      </c>
      <c r="B2" s="2">
        <v>20</v>
      </c>
      <c r="C2" s="2">
        <v>10</v>
      </c>
    </row>
    <row r="3" spans="1:5">
      <c r="A3" s="2" t="s">
        <v>4</v>
      </c>
      <c r="B3" s="2">
        <v>50</v>
      </c>
      <c r="C3" s="2">
        <v>22</v>
      </c>
    </row>
    <row r="4" spans="1:5">
      <c r="A4" s="2" t="s">
        <v>5</v>
      </c>
      <c r="B4" s="2">
        <v>35</v>
      </c>
      <c r="C4" s="2">
        <v>18</v>
      </c>
    </row>
    <row r="5" spans="1:5">
      <c r="A5" s="2" t="s">
        <v>6</v>
      </c>
      <c r="B5" s="2">
        <v>18</v>
      </c>
      <c r="C5" s="2">
        <v>9</v>
      </c>
    </row>
    <row r="6" spans="1:5">
      <c r="A6" s="2" t="s">
        <v>7</v>
      </c>
      <c r="B6" s="2">
        <v>100</v>
      </c>
      <c r="C6" s="2">
        <v>55</v>
      </c>
    </row>
    <row r="7" spans="1:5">
      <c r="A7" s="2" t="s">
        <v>8</v>
      </c>
      <c r="B7" s="2">
        <v>0</v>
      </c>
      <c r="C7" s="2">
        <v>24</v>
      </c>
    </row>
    <row r="8" spans="1:5">
      <c r="A8" s="2" t="s">
        <v>9</v>
      </c>
      <c r="B8" s="2">
        <v>0</v>
      </c>
      <c r="C8" s="2">
        <v>12</v>
      </c>
    </row>
    <row r="9" spans="1:5">
      <c r="A9" s="2" t="s">
        <v>10</v>
      </c>
      <c r="B9" s="2">
        <v>160</v>
      </c>
      <c r="C9" s="2">
        <v>102</v>
      </c>
    </row>
    <row r="10" spans="1:5">
      <c r="A10" s="2" t="s">
        <v>11</v>
      </c>
      <c r="B10" s="2">
        <v>1200</v>
      </c>
      <c r="C10" s="2">
        <v>960</v>
      </c>
    </row>
    <row r="11" spans="1:5">
      <c r="A11" s="2" t="s">
        <v>12</v>
      </c>
      <c r="B11" s="2">
        <v>350</v>
      </c>
      <c r="C11" s="2">
        <v>250</v>
      </c>
    </row>
    <row r="12" spans="1:5">
      <c r="A12" s="2" t="s">
        <v>13</v>
      </c>
      <c r="B12" s="2">
        <v>650</v>
      </c>
      <c r="C12" s="2">
        <v>495</v>
      </c>
    </row>
    <row r="13" spans="1:5">
      <c r="A13" s="2" t="s">
        <v>14</v>
      </c>
      <c r="B13" s="2">
        <v>80</v>
      </c>
      <c r="C13" s="2">
        <v>52</v>
      </c>
      <c r="E13" t="s">
        <v>106</v>
      </c>
    </row>
    <row r="14" spans="1:5">
      <c r="A14" s="2" t="s">
        <v>15</v>
      </c>
      <c r="B14" s="2">
        <v>24</v>
      </c>
      <c r="C14" s="2">
        <v>9</v>
      </c>
    </row>
    <row r="15" spans="1:5">
      <c r="A15" s="2" t="s">
        <v>16</v>
      </c>
      <c r="B15" s="2">
        <v>60</v>
      </c>
      <c r="C15" s="2">
        <v>22</v>
      </c>
    </row>
    <row r="16" spans="1:5">
      <c r="A16" s="2" t="s">
        <v>17</v>
      </c>
      <c r="B16" s="2">
        <v>150</v>
      </c>
      <c r="C16" s="2">
        <v>92</v>
      </c>
    </row>
    <row r="17" spans="1:3">
      <c r="A17" s="2" t="s">
        <v>18</v>
      </c>
      <c r="B17" s="2">
        <v>1100</v>
      </c>
      <c r="C17" s="2">
        <v>840</v>
      </c>
    </row>
    <row r="18" spans="1:3">
      <c r="A18" s="2" t="s">
        <v>19</v>
      </c>
      <c r="B18" s="2">
        <v>75</v>
      </c>
      <c r="C18" s="2">
        <v>46</v>
      </c>
    </row>
    <row r="19" spans="1:3">
      <c r="A19" s="2" t="s">
        <v>20</v>
      </c>
      <c r="B19" s="2">
        <v>350</v>
      </c>
      <c r="C19" s="2">
        <v>225</v>
      </c>
    </row>
    <row r="20" spans="1:3">
      <c r="A20" s="2" t="s">
        <v>21</v>
      </c>
      <c r="B20" s="2">
        <v>35</v>
      </c>
      <c r="C20" s="2">
        <v>17</v>
      </c>
    </row>
    <row r="21" spans="1:3">
      <c r="A21" s="2" t="s">
        <v>22</v>
      </c>
      <c r="B21" s="2">
        <v>18</v>
      </c>
      <c r="C21" s="2">
        <v>8.5</v>
      </c>
    </row>
    <row r="22" spans="1:3">
      <c r="A22" s="2" t="s">
        <v>23</v>
      </c>
      <c r="B22" s="2">
        <v>0</v>
      </c>
      <c r="C22" s="2">
        <v>800</v>
      </c>
    </row>
    <row r="23" spans="1:3">
      <c r="A23" s="2" t="s">
        <v>24</v>
      </c>
      <c r="B23" s="2">
        <v>225</v>
      </c>
      <c r="C23" s="2">
        <v>165</v>
      </c>
    </row>
    <row r="24" spans="1:3">
      <c r="A24" s="2" t="s">
        <v>25</v>
      </c>
      <c r="B24" s="2">
        <v>160</v>
      </c>
      <c r="C24" s="2">
        <v>100</v>
      </c>
    </row>
    <row r="25" spans="1:3">
      <c r="A25" s="2" t="s">
        <v>26</v>
      </c>
      <c r="B25" s="2">
        <v>1200</v>
      </c>
      <c r="C25" s="2">
        <v>920</v>
      </c>
    </row>
    <row r="26" spans="1:3">
      <c r="A26" s="2" t="s">
        <v>27</v>
      </c>
      <c r="B26" s="2">
        <v>350</v>
      </c>
      <c r="C26" s="2">
        <v>235</v>
      </c>
    </row>
    <row r="27" spans="1:3">
      <c r="A27" s="2" t="s">
        <v>28</v>
      </c>
      <c r="B27" s="2">
        <v>650</v>
      </c>
      <c r="C27" s="2">
        <v>460</v>
      </c>
    </row>
    <row r="28" spans="1:3">
      <c r="A28" s="2" t="s">
        <v>29</v>
      </c>
      <c r="B28" s="2">
        <v>80</v>
      </c>
      <c r="C28" s="2">
        <v>50</v>
      </c>
    </row>
    <row r="29" spans="1:3">
      <c r="A29" s="2" t="s">
        <v>30</v>
      </c>
      <c r="B29" s="2">
        <v>70</v>
      </c>
      <c r="C29" s="2">
        <v>40</v>
      </c>
    </row>
    <row r="30" spans="1:3">
      <c r="A30" s="2" t="s">
        <v>31</v>
      </c>
      <c r="B30" s="2">
        <v>35</v>
      </c>
      <c r="C30" s="2">
        <v>17</v>
      </c>
    </row>
    <row r="31" spans="1:3">
      <c r="A31" s="2" t="s">
        <v>32</v>
      </c>
      <c r="B31" s="2">
        <v>150</v>
      </c>
      <c r="C31" s="2">
        <v>95</v>
      </c>
    </row>
    <row r="32" spans="1:3">
      <c r="A32" s="2" t="s">
        <v>33</v>
      </c>
      <c r="B32" s="2">
        <v>80</v>
      </c>
      <c r="C32" s="2">
        <v>50</v>
      </c>
    </row>
    <row r="33" spans="1:3">
      <c r="A33" s="2" t="s">
        <v>34</v>
      </c>
      <c r="B33" s="2">
        <v>80</v>
      </c>
      <c r="C33" s="2">
        <v>49</v>
      </c>
    </row>
    <row r="34" spans="1:3">
      <c r="A34" s="2" t="s">
        <v>35</v>
      </c>
      <c r="B34" s="2">
        <v>0</v>
      </c>
      <c r="C34" s="2">
        <v>48</v>
      </c>
    </row>
    <row r="35" spans="1:3">
      <c r="A35" s="2" t="s">
        <v>36</v>
      </c>
      <c r="B35" s="2">
        <v>400</v>
      </c>
      <c r="C35" s="2">
        <v>95</v>
      </c>
    </row>
    <row r="36" spans="1:3">
      <c r="A36" s="2" t="s">
        <v>37</v>
      </c>
      <c r="B36" s="2">
        <v>0</v>
      </c>
      <c r="C36" s="2">
        <v>850</v>
      </c>
    </row>
    <row r="37" spans="1:3">
      <c r="A37" s="2" t="s">
        <v>38</v>
      </c>
      <c r="B37" s="2">
        <v>35</v>
      </c>
      <c r="C37" s="2">
        <v>20</v>
      </c>
    </row>
    <row r="38" spans="1:3">
      <c r="A38" s="2" t="s">
        <v>39</v>
      </c>
      <c r="B38" s="2">
        <v>320</v>
      </c>
      <c r="C38" s="2">
        <v>180</v>
      </c>
    </row>
    <row r="39" spans="1:3">
      <c r="A39" s="2" t="s">
        <v>40</v>
      </c>
      <c r="B39" s="2">
        <v>80</v>
      </c>
      <c r="C39" s="2">
        <v>50</v>
      </c>
    </row>
    <row r="40" spans="1:3">
      <c r="A40" s="2" t="s">
        <v>41</v>
      </c>
      <c r="B40" s="2">
        <v>160</v>
      </c>
      <c r="C40" s="2">
        <v>100</v>
      </c>
    </row>
    <row r="41" spans="1:3">
      <c r="A41" s="2" t="s">
        <v>42</v>
      </c>
      <c r="B41" s="2">
        <v>40</v>
      </c>
      <c r="C41" s="2">
        <v>25</v>
      </c>
    </row>
    <row r="42" spans="1:3">
      <c r="A42" s="2" t="s">
        <v>43</v>
      </c>
      <c r="B42" s="2">
        <v>100</v>
      </c>
      <c r="C42" s="2">
        <v>60</v>
      </c>
    </row>
    <row r="43" spans="1:3">
      <c r="A43" s="2" t="s">
        <v>44</v>
      </c>
      <c r="B43" s="2">
        <v>200</v>
      </c>
      <c r="C43" s="2">
        <v>120</v>
      </c>
    </row>
    <row r="44" spans="1:3">
      <c r="A44" s="2" t="s">
        <v>45</v>
      </c>
      <c r="B44" s="2"/>
      <c r="C44" s="2">
        <v>4</v>
      </c>
    </row>
    <row r="45" spans="1:3">
      <c r="A45" s="2" t="s">
        <v>46</v>
      </c>
      <c r="B45" s="2">
        <v>40</v>
      </c>
      <c r="C45" s="2">
        <v>25</v>
      </c>
    </row>
    <row r="46" spans="1:3">
      <c r="A46" s="2" t="s">
        <v>47</v>
      </c>
      <c r="B46" s="2">
        <v>85</v>
      </c>
      <c r="C46" s="2">
        <v>60</v>
      </c>
    </row>
    <row r="47" spans="1:3">
      <c r="A47" s="2" t="s">
        <v>48</v>
      </c>
      <c r="B47" s="2">
        <v>60</v>
      </c>
      <c r="C47" s="2">
        <v>34</v>
      </c>
    </row>
    <row r="48" spans="1:3">
      <c r="A48" s="2" t="s">
        <v>49</v>
      </c>
      <c r="B48" s="2">
        <v>550</v>
      </c>
      <c r="C48" s="2">
        <v>325</v>
      </c>
    </row>
    <row r="49" spans="1:3">
      <c r="A49" s="2" t="s">
        <v>50</v>
      </c>
      <c r="B49" s="2">
        <v>145</v>
      </c>
      <c r="C49" s="2">
        <v>85</v>
      </c>
    </row>
    <row r="50" spans="1:3">
      <c r="A50" s="2" t="s">
        <v>51</v>
      </c>
      <c r="B50" s="2">
        <v>280</v>
      </c>
      <c r="C50" s="2">
        <v>170</v>
      </c>
    </row>
    <row r="51" spans="1:3">
      <c r="A51" s="2" t="s">
        <v>52</v>
      </c>
      <c r="B51" s="2">
        <v>30</v>
      </c>
      <c r="C51" s="2">
        <v>17</v>
      </c>
    </row>
    <row r="52" spans="1:3">
      <c r="A52" s="2" t="s">
        <v>53</v>
      </c>
      <c r="B52" s="2">
        <v>0</v>
      </c>
      <c r="C52" s="2">
        <v>320</v>
      </c>
    </row>
    <row r="53" spans="1:3">
      <c r="A53" s="2" t="s">
        <v>54</v>
      </c>
      <c r="B53" s="2">
        <v>80</v>
      </c>
      <c r="C53" s="2">
        <v>50</v>
      </c>
    </row>
    <row r="54" spans="1:3">
      <c r="A54" s="2" t="s">
        <v>55</v>
      </c>
      <c r="B54" s="2">
        <v>650</v>
      </c>
      <c r="C54" s="2">
        <v>450</v>
      </c>
    </row>
    <row r="55" spans="1:3">
      <c r="A55" s="2" t="s">
        <v>56</v>
      </c>
      <c r="B55" s="2">
        <v>180</v>
      </c>
      <c r="C55" s="2">
        <v>115</v>
      </c>
    </row>
    <row r="56" spans="1:3">
      <c r="A56" s="2" t="s">
        <v>57</v>
      </c>
      <c r="B56" s="2">
        <v>350</v>
      </c>
      <c r="C56" s="2">
        <v>225</v>
      </c>
    </row>
    <row r="57" spans="1:3">
      <c r="A57" s="2" t="s">
        <v>58</v>
      </c>
      <c r="B57" s="2">
        <v>40</v>
      </c>
      <c r="C57" s="2">
        <v>25</v>
      </c>
    </row>
    <row r="58" spans="1:3">
      <c r="A58" s="2" t="s">
        <v>59</v>
      </c>
      <c r="B58" s="2">
        <v>30</v>
      </c>
      <c r="C58" s="2">
        <v>14</v>
      </c>
    </row>
    <row r="59" spans="1:3">
      <c r="A59" s="2" t="s">
        <v>60</v>
      </c>
      <c r="B59" s="2">
        <v>15</v>
      </c>
      <c r="C59" s="2">
        <v>7</v>
      </c>
    </row>
    <row r="60" spans="1:3">
      <c r="A60" s="2" t="s">
        <v>61</v>
      </c>
      <c r="B60" s="2">
        <v>0</v>
      </c>
      <c r="C60" s="2">
        <v>110</v>
      </c>
    </row>
    <row r="61" spans="1:3">
      <c r="A61" s="2" t="s">
        <v>62</v>
      </c>
      <c r="B61" s="2">
        <v>70</v>
      </c>
      <c r="C61" s="2">
        <v>35</v>
      </c>
    </row>
    <row r="62" spans="1:3">
      <c r="A62" s="2" t="s">
        <v>63</v>
      </c>
      <c r="B62" s="2">
        <v>30</v>
      </c>
      <c r="C62" s="2">
        <v>13</v>
      </c>
    </row>
    <row r="63" spans="1:3">
      <c r="A63" s="2" t="s">
        <v>64</v>
      </c>
      <c r="B63" s="2">
        <v>250</v>
      </c>
      <c r="C63" s="2">
        <v>130</v>
      </c>
    </row>
    <row r="64" spans="1:3">
      <c r="A64" s="2" t="s">
        <v>65</v>
      </c>
      <c r="B64" s="2">
        <v>140</v>
      </c>
      <c r="C64" s="2">
        <v>65</v>
      </c>
    </row>
    <row r="65" spans="1:3">
      <c r="A65" s="2" t="s">
        <v>66</v>
      </c>
      <c r="B65" s="2">
        <v>15</v>
      </c>
      <c r="C65" s="2">
        <v>6.5</v>
      </c>
    </row>
    <row r="66" spans="1:3">
      <c r="A66" s="2" t="s">
        <v>67</v>
      </c>
      <c r="B66" s="2">
        <v>0</v>
      </c>
      <c r="C66" s="2">
        <v>120</v>
      </c>
    </row>
    <row r="67" spans="1:3">
      <c r="A67" s="2" t="s">
        <v>68</v>
      </c>
      <c r="B67" s="2">
        <v>70</v>
      </c>
      <c r="C67" s="2">
        <v>32</v>
      </c>
    </row>
    <row r="68" spans="1:3">
      <c r="A68" s="2" t="s">
        <v>69</v>
      </c>
      <c r="B68" s="2">
        <v>45</v>
      </c>
      <c r="C68" s="2">
        <v>22</v>
      </c>
    </row>
    <row r="69" spans="1:3">
      <c r="A69" s="2" t="s">
        <v>70</v>
      </c>
      <c r="B69" s="2">
        <v>275</v>
      </c>
      <c r="C69" s="2">
        <v>150</v>
      </c>
    </row>
    <row r="70" spans="1:3">
      <c r="A70" s="2" t="s">
        <v>71</v>
      </c>
      <c r="B70" s="2">
        <v>100</v>
      </c>
      <c r="C70" s="2">
        <v>70</v>
      </c>
    </row>
    <row r="71" spans="1:3">
      <c r="A71" s="2" t="s">
        <v>72</v>
      </c>
      <c r="B71" s="2">
        <v>55</v>
      </c>
      <c r="C71" s="2">
        <v>34</v>
      </c>
    </row>
    <row r="72" spans="1:3">
      <c r="A72" s="2" t="s">
        <v>73</v>
      </c>
      <c r="B72" s="2">
        <v>20</v>
      </c>
      <c r="C72" s="2">
        <v>10</v>
      </c>
    </row>
    <row r="73" spans="1:3">
      <c r="A73" s="2" t="s">
        <v>74</v>
      </c>
      <c r="B73" s="2">
        <v>150</v>
      </c>
      <c r="C73" s="2">
        <v>85</v>
      </c>
    </row>
    <row r="74" spans="1:3">
      <c r="A74" s="2" t="s">
        <v>75</v>
      </c>
      <c r="B74" s="2">
        <v>40</v>
      </c>
      <c r="C74" s="2">
        <v>22</v>
      </c>
    </row>
    <row r="75" spans="1:3">
      <c r="A75" s="2" t="s">
        <v>76</v>
      </c>
      <c r="B75" s="2">
        <v>80</v>
      </c>
      <c r="C75" s="2">
        <v>44</v>
      </c>
    </row>
    <row r="76" spans="1:3">
      <c r="A76" s="2" t="s">
        <v>77</v>
      </c>
      <c r="B76" s="2">
        <v>10</v>
      </c>
      <c r="C76" s="2">
        <v>5</v>
      </c>
    </row>
    <row r="77" spans="1:3">
      <c r="A77" s="2" t="s">
        <v>78</v>
      </c>
      <c r="B77" s="2">
        <v>40</v>
      </c>
      <c r="C77" s="2">
        <v>20</v>
      </c>
    </row>
    <row r="78" spans="1:3">
      <c r="A78" s="2" t="s">
        <v>79</v>
      </c>
      <c r="B78" s="2">
        <v>100</v>
      </c>
      <c r="C78" s="2">
        <v>50</v>
      </c>
    </row>
    <row r="79" spans="1:3">
      <c r="A79" s="2" t="s">
        <v>80</v>
      </c>
      <c r="B79" s="2">
        <v>170</v>
      </c>
      <c r="C79" s="2">
        <v>100</v>
      </c>
    </row>
    <row r="80" spans="1:3">
      <c r="A80" s="2" t="s">
        <v>81</v>
      </c>
      <c r="B80" s="2">
        <v>20</v>
      </c>
      <c r="C80" s="2">
        <v>10</v>
      </c>
    </row>
    <row r="81" spans="1:3">
      <c r="A81" s="2" t="s">
        <v>82</v>
      </c>
      <c r="B81" s="2">
        <v>120</v>
      </c>
      <c r="C81" s="2">
        <v>64</v>
      </c>
    </row>
    <row r="82" spans="1:3">
      <c r="A82" s="2" t="s">
        <v>83</v>
      </c>
      <c r="B82" s="2">
        <v>60</v>
      </c>
      <c r="C82" s="2">
        <v>32</v>
      </c>
    </row>
    <row r="83" spans="1:3">
      <c r="A83" s="2" t="s">
        <v>84</v>
      </c>
      <c r="B83" s="2">
        <v>50</v>
      </c>
      <c r="C83" s="2">
        <v>30</v>
      </c>
    </row>
    <row r="84" spans="1:3">
      <c r="A84" s="2" t="s">
        <v>85</v>
      </c>
      <c r="B84" s="2">
        <v>30</v>
      </c>
      <c r="C84" s="2">
        <v>18</v>
      </c>
    </row>
    <row r="85" spans="1:3">
      <c r="A85" s="2" t="s">
        <v>86</v>
      </c>
      <c r="B85" s="2">
        <v>60</v>
      </c>
      <c r="C85" s="2">
        <v>20</v>
      </c>
    </row>
    <row r="86" spans="1:3">
      <c r="A86" s="2" t="s">
        <v>87</v>
      </c>
      <c r="B86" s="2">
        <v>150</v>
      </c>
      <c r="C86" s="2">
        <v>46</v>
      </c>
    </row>
    <row r="87" spans="1:3">
      <c r="A87" s="2" t="s">
        <v>88</v>
      </c>
      <c r="B87" s="2">
        <v>30</v>
      </c>
      <c r="C87" s="2">
        <v>10</v>
      </c>
    </row>
    <row r="88" spans="1:3">
      <c r="A88" s="2" t="s">
        <v>89</v>
      </c>
      <c r="B88" s="2">
        <v>100</v>
      </c>
      <c r="C88" s="2">
        <v>60</v>
      </c>
    </row>
    <row r="89" spans="1:3">
      <c r="A89" s="2" t="s">
        <v>90</v>
      </c>
      <c r="B89" s="2">
        <v>50</v>
      </c>
      <c r="C89" s="2">
        <v>30</v>
      </c>
    </row>
    <row r="90" spans="1:3">
      <c r="A90" s="2" t="s">
        <v>91</v>
      </c>
      <c r="B90" s="2">
        <v>40</v>
      </c>
      <c r="C90" s="2">
        <v>18</v>
      </c>
    </row>
    <row r="91" spans="1:3">
      <c r="A91" s="2" t="s">
        <v>92</v>
      </c>
      <c r="B91" s="2">
        <v>100</v>
      </c>
      <c r="C91" s="2">
        <v>42</v>
      </c>
    </row>
    <row r="92" spans="1:3">
      <c r="A92" s="2" t="s">
        <v>93</v>
      </c>
      <c r="B92" s="2">
        <v>20</v>
      </c>
      <c r="C92" s="2">
        <v>9</v>
      </c>
    </row>
    <row r="93" spans="1:3">
      <c r="A93" s="2" t="s">
        <v>94</v>
      </c>
      <c r="B93" s="2">
        <v>0</v>
      </c>
      <c r="C93" s="2">
        <v>49</v>
      </c>
    </row>
  </sheetData>
  <sheetProtection formatCells="0" formatColumns="0" formatRows="0" insertColumns="0" insertRows="0" insertHyperlinks="0" deleteColumns="0" deleteRows="0" sort="0" autoFilter="0" pivotTables="0"/>
  <pageMargins left="0.69930555555555596" right="0.69930555555555596" top="0.5" bottom="0" header="0.3" footer="0.3"/>
  <pageSetup paperSize="11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8BE60-0BC8-4B69-9245-C486A66D9FA9}">
  <sheetPr filterMode="1"/>
  <dimension ref="A1:N93"/>
  <sheetViews>
    <sheetView topLeftCell="H1" workbookViewId="0">
      <selection activeCell="A46" sqref="A46:N46"/>
    </sheetView>
  </sheetViews>
  <sheetFormatPr defaultColWidth="23" defaultRowHeight="14.5"/>
  <cols>
    <col min="1" max="1" width="29.6328125" style="3" customWidth="1"/>
    <col min="2" max="16384" width="23" style="3"/>
  </cols>
  <sheetData>
    <row r="1" spans="1:14">
      <c r="A1" s="5" t="s">
        <v>95</v>
      </c>
      <c r="B1" s="5" t="s">
        <v>109</v>
      </c>
      <c r="C1" s="5" t="s">
        <v>139</v>
      </c>
      <c r="D1" s="5" t="s">
        <v>97</v>
      </c>
      <c r="E1" s="5" t="s">
        <v>107</v>
      </c>
      <c r="F1" s="5" t="s">
        <v>96</v>
      </c>
      <c r="G1" s="5" t="s">
        <v>98</v>
      </c>
      <c r="H1" s="5" t="s">
        <v>99</v>
      </c>
      <c r="I1" s="5" t="s">
        <v>100</v>
      </c>
      <c r="J1" s="5" t="s">
        <v>101</v>
      </c>
      <c r="K1" s="5" t="s">
        <v>102</v>
      </c>
      <c r="L1" s="5" t="s">
        <v>103</v>
      </c>
      <c r="M1" s="5" t="s">
        <v>104</v>
      </c>
      <c r="N1" s="5" t="s">
        <v>105</v>
      </c>
    </row>
    <row r="2" spans="1:14" hidden="1">
      <c r="A2" s="6" t="s">
        <v>108</v>
      </c>
      <c r="B2" s="6">
        <v>100</v>
      </c>
      <c r="C2" s="6" t="s">
        <v>152</v>
      </c>
      <c r="D2" s="6" t="s">
        <v>159</v>
      </c>
      <c r="E2" s="6">
        <v>20</v>
      </c>
      <c r="F2" s="6">
        <v>10</v>
      </c>
      <c r="G2" s="7">
        <f>ROUND(F2*(1+0.1),0)</f>
        <v>11</v>
      </c>
      <c r="H2" s="8">
        <v>18</v>
      </c>
      <c r="I2" s="8">
        <v>16</v>
      </c>
      <c r="J2" s="8">
        <v>15</v>
      </c>
      <c r="K2" s="8">
        <v>16</v>
      </c>
      <c r="L2" s="9">
        <f t="shared" ref="L2:L65" si="0">ROUND(AVERAGE(H2:K2),0)</f>
        <v>16</v>
      </c>
      <c r="M2" s="10">
        <f t="shared" ref="M2:M65" si="1">ROUND(L2-G2,0)</f>
        <v>5</v>
      </c>
      <c r="N2" s="11">
        <f t="shared" ref="N2:N65" si="2">ROUND(G2-F2,0)</f>
        <v>1</v>
      </c>
    </row>
    <row r="3" spans="1:14" hidden="1">
      <c r="A3" s="6" t="s">
        <v>110</v>
      </c>
      <c r="B3" s="6">
        <v>250</v>
      </c>
      <c r="C3" s="6" t="s">
        <v>153</v>
      </c>
      <c r="D3" s="6" t="s">
        <v>160</v>
      </c>
      <c r="E3" s="6">
        <v>50</v>
      </c>
      <c r="F3" s="6">
        <v>22</v>
      </c>
      <c r="G3" s="7">
        <f>ROUND(F3*(1+0.1),0)</f>
        <v>24</v>
      </c>
      <c r="H3" s="8">
        <v>42</v>
      </c>
      <c r="I3" s="8">
        <v>40</v>
      </c>
      <c r="J3" s="8">
        <v>38</v>
      </c>
      <c r="K3" s="8">
        <v>40</v>
      </c>
      <c r="L3" s="9">
        <f t="shared" si="0"/>
        <v>40</v>
      </c>
      <c r="M3" s="10">
        <f t="shared" si="1"/>
        <v>16</v>
      </c>
      <c r="N3" s="11">
        <f t="shared" si="2"/>
        <v>2</v>
      </c>
    </row>
    <row r="4" spans="1:14" hidden="1">
      <c r="A4" s="6" t="s">
        <v>111</v>
      </c>
      <c r="B4" s="6">
        <v>100</v>
      </c>
      <c r="C4" s="6" t="s">
        <v>154</v>
      </c>
      <c r="D4" s="6" t="s">
        <v>162</v>
      </c>
      <c r="E4" s="6">
        <v>35</v>
      </c>
      <c r="F4" s="6">
        <v>18</v>
      </c>
      <c r="G4" s="12">
        <f>ROUND(F4*(1+0.35),0)</f>
        <v>24</v>
      </c>
      <c r="H4" s="8">
        <v>32</v>
      </c>
      <c r="I4" s="8">
        <v>30</v>
      </c>
      <c r="J4" s="8">
        <v>30</v>
      </c>
      <c r="K4" s="8">
        <v>31</v>
      </c>
      <c r="L4" s="9">
        <f t="shared" si="0"/>
        <v>31</v>
      </c>
      <c r="M4" s="10">
        <f t="shared" si="1"/>
        <v>7</v>
      </c>
      <c r="N4" s="11">
        <f t="shared" si="2"/>
        <v>6</v>
      </c>
    </row>
    <row r="5" spans="1:14" hidden="1">
      <c r="A5" s="6" t="s">
        <v>111</v>
      </c>
      <c r="B5" s="6">
        <v>50</v>
      </c>
      <c r="C5" s="6" t="s">
        <v>154</v>
      </c>
      <c r="D5" s="6" t="s">
        <v>163</v>
      </c>
      <c r="E5" s="6">
        <v>18</v>
      </c>
      <c r="F5" s="6">
        <v>9</v>
      </c>
      <c r="G5" s="12">
        <f>ROUND(F5*(1+0.35),0)</f>
        <v>12</v>
      </c>
      <c r="H5" s="8">
        <v>18</v>
      </c>
      <c r="I5" s="8">
        <v>16</v>
      </c>
      <c r="J5" s="8">
        <v>16</v>
      </c>
      <c r="K5" s="8">
        <v>17</v>
      </c>
      <c r="L5" s="9">
        <f t="shared" si="0"/>
        <v>17</v>
      </c>
      <c r="M5" s="10">
        <f t="shared" si="1"/>
        <v>5</v>
      </c>
      <c r="N5" s="11">
        <f t="shared" si="2"/>
        <v>3</v>
      </c>
    </row>
    <row r="6" spans="1:14" hidden="1">
      <c r="A6" s="6" t="s">
        <v>158</v>
      </c>
      <c r="B6" s="6">
        <v>100</v>
      </c>
      <c r="C6" s="6" t="s">
        <v>155</v>
      </c>
      <c r="D6" s="6" t="s">
        <v>161</v>
      </c>
      <c r="E6" s="6">
        <v>100</v>
      </c>
      <c r="F6" s="6">
        <v>55</v>
      </c>
      <c r="G6" s="7">
        <f>ROUND(F6*(1+0.4),0)</f>
        <v>77</v>
      </c>
      <c r="H6" s="8">
        <v>95</v>
      </c>
      <c r="I6" s="8">
        <v>88</v>
      </c>
      <c r="J6" s="8">
        <v>90</v>
      </c>
      <c r="K6" s="8">
        <v>92</v>
      </c>
      <c r="L6" s="9">
        <f t="shared" si="0"/>
        <v>91</v>
      </c>
      <c r="M6" s="10">
        <f t="shared" si="1"/>
        <v>14</v>
      </c>
      <c r="N6" s="11">
        <f t="shared" si="2"/>
        <v>22</v>
      </c>
    </row>
    <row r="7" spans="1:14" hidden="1">
      <c r="A7" s="6" t="s">
        <v>112</v>
      </c>
      <c r="B7" s="6">
        <v>100</v>
      </c>
      <c r="C7" s="6" t="s">
        <v>154</v>
      </c>
      <c r="D7" s="6" t="s">
        <v>164</v>
      </c>
      <c r="E7" s="6">
        <v>0</v>
      </c>
      <c r="F7" s="6">
        <v>24</v>
      </c>
      <c r="G7" s="12">
        <f>ROUND(F7*(1+0.35),0)</f>
        <v>32</v>
      </c>
      <c r="H7" s="8">
        <v>38</v>
      </c>
      <c r="I7" s="8">
        <v>35</v>
      </c>
      <c r="J7" s="8">
        <v>35</v>
      </c>
      <c r="K7" s="8">
        <v>36</v>
      </c>
      <c r="L7" s="9">
        <f t="shared" si="0"/>
        <v>36</v>
      </c>
      <c r="M7" s="10">
        <f t="shared" si="1"/>
        <v>4</v>
      </c>
      <c r="N7" s="11">
        <f t="shared" si="2"/>
        <v>8</v>
      </c>
    </row>
    <row r="8" spans="1:14" hidden="1">
      <c r="A8" s="6" t="s">
        <v>112</v>
      </c>
      <c r="B8" s="6">
        <v>50</v>
      </c>
      <c r="C8" s="6" t="s">
        <v>154</v>
      </c>
      <c r="D8" s="6" t="s">
        <v>165</v>
      </c>
      <c r="E8" s="6">
        <v>0</v>
      </c>
      <c r="F8" s="6">
        <v>12</v>
      </c>
      <c r="G8" s="12">
        <f>ROUND(F8*(1+0.35),0)</f>
        <v>16</v>
      </c>
      <c r="H8" s="8">
        <v>21</v>
      </c>
      <c r="I8" s="8">
        <v>19</v>
      </c>
      <c r="J8" s="8">
        <v>19</v>
      </c>
      <c r="K8" s="8">
        <v>20</v>
      </c>
      <c r="L8" s="9">
        <f t="shared" si="0"/>
        <v>20</v>
      </c>
      <c r="M8" s="10">
        <f t="shared" si="1"/>
        <v>4</v>
      </c>
      <c r="N8" s="11">
        <f t="shared" si="2"/>
        <v>4</v>
      </c>
    </row>
    <row r="9" spans="1:14" hidden="1">
      <c r="A9" s="6" t="s">
        <v>113</v>
      </c>
      <c r="B9" s="6">
        <v>100</v>
      </c>
      <c r="C9" s="6" t="s">
        <v>156</v>
      </c>
      <c r="D9" s="6" t="s">
        <v>166</v>
      </c>
      <c r="E9" s="6">
        <v>160</v>
      </c>
      <c r="F9" s="6">
        <v>102</v>
      </c>
      <c r="G9" s="7">
        <f>ROUND(F9*(1+0.5),0)</f>
        <v>153</v>
      </c>
      <c r="H9" s="8">
        <v>108</v>
      </c>
      <c r="I9" s="8">
        <v>105</v>
      </c>
      <c r="J9" s="8">
        <v>100</v>
      </c>
      <c r="K9" s="8">
        <v>102</v>
      </c>
      <c r="L9" s="9">
        <f t="shared" si="0"/>
        <v>104</v>
      </c>
      <c r="M9" s="10">
        <f t="shared" si="1"/>
        <v>-49</v>
      </c>
      <c r="N9" s="11">
        <f t="shared" si="2"/>
        <v>51</v>
      </c>
    </row>
    <row r="10" spans="1:14" hidden="1">
      <c r="A10" s="6" t="s">
        <v>113</v>
      </c>
      <c r="B10" s="6">
        <v>1000</v>
      </c>
      <c r="C10" s="6" t="s">
        <v>156</v>
      </c>
      <c r="D10" s="6" t="s">
        <v>167</v>
      </c>
      <c r="E10" s="6">
        <v>1200</v>
      </c>
      <c r="F10" s="6">
        <v>960</v>
      </c>
      <c r="G10" s="7">
        <f>ROUND(F10*(1+0.5),0)</f>
        <v>1440</v>
      </c>
      <c r="H10" s="8">
        <v>1020</v>
      </c>
      <c r="I10" s="8">
        <v>990</v>
      </c>
      <c r="J10" s="8">
        <v>945</v>
      </c>
      <c r="K10" s="8">
        <v>965</v>
      </c>
      <c r="L10" s="9">
        <f t="shared" si="0"/>
        <v>980</v>
      </c>
      <c r="M10" s="10">
        <f t="shared" si="1"/>
        <v>-460</v>
      </c>
      <c r="N10" s="11">
        <f t="shared" si="2"/>
        <v>480</v>
      </c>
    </row>
    <row r="11" spans="1:14" hidden="1">
      <c r="A11" s="6" t="s">
        <v>140</v>
      </c>
      <c r="B11" s="6">
        <v>250</v>
      </c>
      <c r="C11" s="6" t="s">
        <v>156</v>
      </c>
      <c r="D11" s="6" t="s">
        <v>168</v>
      </c>
      <c r="E11" s="6">
        <v>350</v>
      </c>
      <c r="F11" s="6">
        <v>250</v>
      </c>
      <c r="G11" s="7">
        <f>ROUND(F11*(1+0.5),0)</f>
        <v>375</v>
      </c>
      <c r="H11" s="8">
        <v>272</v>
      </c>
      <c r="I11" s="8">
        <v>264</v>
      </c>
      <c r="J11" s="8">
        <v>252</v>
      </c>
      <c r="K11" s="8">
        <v>258</v>
      </c>
      <c r="L11" s="9">
        <f t="shared" si="0"/>
        <v>262</v>
      </c>
      <c r="M11" s="10">
        <f t="shared" si="1"/>
        <v>-113</v>
      </c>
      <c r="N11" s="11">
        <f t="shared" si="2"/>
        <v>125</v>
      </c>
    </row>
    <row r="12" spans="1:14" hidden="1">
      <c r="A12" s="6" t="s">
        <v>140</v>
      </c>
      <c r="B12" s="6">
        <v>500</v>
      </c>
      <c r="C12" s="6" t="s">
        <v>156</v>
      </c>
      <c r="D12" s="6" t="s">
        <v>169</v>
      </c>
      <c r="E12" s="6">
        <v>650</v>
      </c>
      <c r="F12" s="6">
        <v>495</v>
      </c>
      <c r="G12" s="7">
        <f>ROUND(F12*(1+0.5),0)</f>
        <v>743</v>
      </c>
      <c r="H12" s="8">
        <v>529</v>
      </c>
      <c r="I12" s="8">
        <v>515</v>
      </c>
      <c r="J12" s="8">
        <v>490</v>
      </c>
      <c r="K12" s="8">
        <v>500</v>
      </c>
      <c r="L12" s="9">
        <f t="shared" si="0"/>
        <v>509</v>
      </c>
      <c r="M12" s="10">
        <f t="shared" si="1"/>
        <v>-234</v>
      </c>
      <c r="N12" s="11">
        <f t="shared" si="2"/>
        <v>248</v>
      </c>
    </row>
    <row r="13" spans="1:14" hidden="1">
      <c r="A13" s="6" t="s">
        <v>140</v>
      </c>
      <c r="B13" s="6">
        <v>50</v>
      </c>
      <c r="C13" s="6" t="s">
        <v>156</v>
      </c>
      <c r="D13" s="6" t="s">
        <v>170</v>
      </c>
      <c r="E13" s="6">
        <v>80</v>
      </c>
      <c r="F13" s="6">
        <v>52</v>
      </c>
      <c r="G13" s="7">
        <f>ROUND(F13*(1+0.5),0)</f>
        <v>78</v>
      </c>
      <c r="H13" s="8">
        <v>60</v>
      </c>
      <c r="I13" s="8">
        <v>58</v>
      </c>
      <c r="J13" s="8">
        <v>55</v>
      </c>
      <c r="K13" s="8">
        <v>56</v>
      </c>
      <c r="L13" s="9">
        <f t="shared" si="0"/>
        <v>57</v>
      </c>
      <c r="M13" s="10">
        <f t="shared" si="1"/>
        <v>-21</v>
      </c>
      <c r="N13" s="11">
        <f t="shared" si="2"/>
        <v>26</v>
      </c>
    </row>
    <row r="14" spans="1:14" hidden="1">
      <c r="A14" s="6" t="s">
        <v>141</v>
      </c>
      <c r="B14" s="6">
        <v>100</v>
      </c>
      <c r="C14" s="6" t="s">
        <v>157</v>
      </c>
      <c r="D14" s="6" t="s">
        <v>171</v>
      </c>
      <c r="E14" s="6">
        <v>24</v>
      </c>
      <c r="F14" s="6">
        <v>9</v>
      </c>
      <c r="G14" s="7">
        <f>ROUND(F14*(1+0.1),0)</f>
        <v>10</v>
      </c>
      <c r="H14" s="8">
        <v>14</v>
      </c>
      <c r="I14" s="8">
        <v>12</v>
      </c>
      <c r="J14" s="8">
        <v>12</v>
      </c>
      <c r="K14" s="8">
        <v>13</v>
      </c>
      <c r="L14" s="9">
        <f t="shared" si="0"/>
        <v>13</v>
      </c>
      <c r="M14" s="10">
        <f t="shared" si="1"/>
        <v>3</v>
      </c>
      <c r="N14" s="11">
        <f t="shared" si="2"/>
        <v>1</v>
      </c>
    </row>
    <row r="15" spans="1:14" hidden="1">
      <c r="A15" s="6" t="s">
        <v>141</v>
      </c>
      <c r="B15" s="6">
        <v>250</v>
      </c>
      <c r="C15" s="6" t="s">
        <v>157</v>
      </c>
      <c r="D15" s="6" t="s">
        <v>172</v>
      </c>
      <c r="E15" s="6">
        <v>60</v>
      </c>
      <c r="F15" s="6">
        <v>22</v>
      </c>
      <c r="G15" s="7">
        <f>ROUND(F15*(1+0.1),0)</f>
        <v>24</v>
      </c>
      <c r="H15" s="8">
        <v>32</v>
      </c>
      <c r="I15" s="8">
        <v>30</v>
      </c>
      <c r="J15" s="8">
        <v>28</v>
      </c>
      <c r="K15" s="8">
        <v>30</v>
      </c>
      <c r="L15" s="9">
        <f t="shared" si="0"/>
        <v>30</v>
      </c>
      <c r="M15" s="10">
        <f t="shared" si="1"/>
        <v>6</v>
      </c>
      <c r="N15" s="11">
        <f t="shared" si="2"/>
        <v>2</v>
      </c>
    </row>
    <row r="16" spans="1:14" hidden="1">
      <c r="A16" s="6" t="s">
        <v>142</v>
      </c>
      <c r="B16" s="6">
        <v>100</v>
      </c>
      <c r="C16" s="6" t="s">
        <v>154</v>
      </c>
      <c r="D16" s="6" t="s">
        <v>173</v>
      </c>
      <c r="E16" s="6">
        <v>150</v>
      </c>
      <c r="F16" s="6">
        <v>92</v>
      </c>
      <c r="G16" s="12">
        <f t="shared" ref="G16:G23" si="3">ROUND(F16*(1+0.35),0)</f>
        <v>124</v>
      </c>
      <c r="H16" s="8">
        <v>130</v>
      </c>
      <c r="I16" s="8">
        <v>125</v>
      </c>
      <c r="J16" s="8">
        <v>120</v>
      </c>
      <c r="K16" s="8">
        <v>122</v>
      </c>
      <c r="L16" s="9">
        <f t="shared" si="0"/>
        <v>124</v>
      </c>
      <c r="M16" s="10">
        <f t="shared" si="1"/>
        <v>0</v>
      </c>
      <c r="N16" s="11">
        <f t="shared" si="2"/>
        <v>32</v>
      </c>
    </row>
    <row r="17" spans="1:14" hidden="1">
      <c r="A17" s="6" t="s">
        <v>142</v>
      </c>
      <c r="B17" s="6">
        <v>1000</v>
      </c>
      <c r="C17" s="6" t="s">
        <v>154</v>
      </c>
      <c r="D17" s="6" t="s">
        <v>174</v>
      </c>
      <c r="E17" s="6">
        <v>1100</v>
      </c>
      <c r="F17" s="6">
        <v>840</v>
      </c>
      <c r="G17" s="12">
        <f t="shared" si="3"/>
        <v>1134</v>
      </c>
      <c r="H17" s="8">
        <v>1190</v>
      </c>
      <c r="I17" s="8">
        <v>1150</v>
      </c>
      <c r="J17" s="8">
        <v>1100</v>
      </c>
      <c r="K17" s="8">
        <v>1120</v>
      </c>
      <c r="L17" s="9">
        <f t="shared" si="0"/>
        <v>1140</v>
      </c>
      <c r="M17" s="10">
        <f t="shared" si="1"/>
        <v>6</v>
      </c>
      <c r="N17" s="11">
        <f t="shared" si="2"/>
        <v>294</v>
      </c>
    </row>
    <row r="18" spans="1:14" hidden="1">
      <c r="A18" s="6" t="s">
        <v>142</v>
      </c>
      <c r="B18" s="6">
        <v>50</v>
      </c>
      <c r="C18" s="6" t="s">
        <v>154</v>
      </c>
      <c r="D18" s="6" t="s">
        <v>175</v>
      </c>
      <c r="E18" s="6">
        <v>75</v>
      </c>
      <c r="F18" s="6">
        <v>46</v>
      </c>
      <c r="G18" s="12">
        <f t="shared" si="3"/>
        <v>62</v>
      </c>
      <c r="H18" s="8">
        <v>70</v>
      </c>
      <c r="I18" s="8">
        <v>68</v>
      </c>
      <c r="J18" s="8">
        <v>65</v>
      </c>
      <c r="K18" s="8">
        <v>66</v>
      </c>
      <c r="L18" s="9">
        <f t="shared" si="0"/>
        <v>67</v>
      </c>
      <c r="M18" s="10">
        <f t="shared" si="1"/>
        <v>5</v>
      </c>
      <c r="N18" s="11">
        <f t="shared" si="2"/>
        <v>16</v>
      </c>
    </row>
    <row r="19" spans="1:14" hidden="1">
      <c r="A19" s="6" t="s">
        <v>142</v>
      </c>
      <c r="B19" s="6">
        <v>250</v>
      </c>
      <c r="C19" s="6" t="s">
        <v>154</v>
      </c>
      <c r="D19" s="6" t="s">
        <v>176</v>
      </c>
      <c r="E19" s="6">
        <v>350</v>
      </c>
      <c r="F19" s="6">
        <v>225</v>
      </c>
      <c r="G19" s="12">
        <f t="shared" si="3"/>
        <v>304</v>
      </c>
      <c r="H19" s="8">
        <v>320</v>
      </c>
      <c r="I19" s="8">
        <v>310</v>
      </c>
      <c r="J19" s="8">
        <v>295</v>
      </c>
      <c r="K19" s="8">
        <v>302</v>
      </c>
      <c r="L19" s="9">
        <f t="shared" si="0"/>
        <v>307</v>
      </c>
      <c r="M19" s="10">
        <f t="shared" si="1"/>
        <v>3</v>
      </c>
      <c r="N19" s="11">
        <f t="shared" si="2"/>
        <v>79</v>
      </c>
    </row>
    <row r="20" spans="1:14" hidden="1">
      <c r="A20" s="6" t="s">
        <v>143</v>
      </c>
      <c r="B20" s="6">
        <v>100</v>
      </c>
      <c r="C20" s="6" t="s">
        <v>154</v>
      </c>
      <c r="D20" s="6" t="s">
        <v>177</v>
      </c>
      <c r="E20" s="6">
        <v>35</v>
      </c>
      <c r="F20" s="6">
        <v>17</v>
      </c>
      <c r="G20" s="12">
        <f t="shared" si="3"/>
        <v>23</v>
      </c>
      <c r="H20" s="8">
        <v>32</v>
      </c>
      <c r="I20" s="8">
        <v>30</v>
      </c>
      <c r="J20" s="8">
        <v>30</v>
      </c>
      <c r="K20" s="8">
        <v>31</v>
      </c>
      <c r="L20" s="9">
        <f t="shared" si="0"/>
        <v>31</v>
      </c>
      <c r="M20" s="10">
        <f t="shared" si="1"/>
        <v>8</v>
      </c>
      <c r="N20" s="11">
        <f t="shared" si="2"/>
        <v>6</v>
      </c>
    </row>
    <row r="21" spans="1:14" hidden="1">
      <c r="A21" s="6" t="s">
        <v>143</v>
      </c>
      <c r="B21" s="6">
        <v>50</v>
      </c>
      <c r="C21" s="6" t="s">
        <v>154</v>
      </c>
      <c r="D21" s="6" t="s">
        <v>178</v>
      </c>
      <c r="E21" s="6">
        <v>18</v>
      </c>
      <c r="F21" s="6">
        <v>8.5</v>
      </c>
      <c r="G21" s="12">
        <f t="shared" si="3"/>
        <v>11</v>
      </c>
      <c r="H21" s="8">
        <v>18</v>
      </c>
      <c r="I21" s="8">
        <v>17</v>
      </c>
      <c r="J21" s="8">
        <v>17</v>
      </c>
      <c r="K21" s="8">
        <v>17</v>
      </c>
      <c r="L21" s="9">
        <f t="shared" si="0"/>
        <v>17</v>
      </c>
      <c r="M21" s="10">
        <f t="shared" si="1"/>
        <v>6</v>
      </c>
      <c r="N21" s="11">
        <f t="shared" si="2"/>
        <v>3</v>
      </c>
    </row>
    <row r="22" spans="1:14" hidden="1">
      <c r="A22" s="6" t="s">
        <v>144</v>
      </c>
      <c r="B22" s="6">
        <v>250</v>
      </c>
      <c r="C22" s="6" t="s">
        <v>154</v>
      </c>
      <c r="D22" s="6" t="s">
        <v>179</v>
      </c>
      <c r="E22" s="6">
        <v>0</v>
      </c>
      <c r="F22" s="6">
        <v>800</v>
      </c>
      <c r="G22" s="12">
        <f t="shared" si="3"/>
        <v>1080</v>
      </c>
      <c r="H22" s="8">
        <v>4800</v>
      </c>
      <c r="I22" s="8">
        <v>4600</v>
      </c>
      <c r="J22" s="8">
        <v>4500</v>
      </c>
      <c r="K22" s="8">
        <v>4650</v>
      </c>
      <c r="L22" s="9">
        <f t="shared" si="0"/>
        <v>4638</v>
      </c>
      <c r="M22" s="10">
        <f t="shared" si="1"/>
        <v>3558</v>
      </c>
      <c r="N22" s="11">
        <f t="shared" si="2"/>
        <v>280</v>
      </c>
    </row>
    <row r="23" spans="1:14" hidden="1">
      <c r="A23" s="6" t="s">
        <v>145</v>
      </c>
      <c r="B23" s="6">
        <v>50</v>
      </c>
      <c r="C23" s="6" t="s">
        <v>154</v>
      </c>
      <c r="D23" s="6" t="s">
        <v>180</v>
      </c>
      <c r="E23" s="6">
        <v>225</v>
      </c>
      <c r="F23" s="6">
        <v>165</v>
      </c>
      <c r="G23" s="12">
        <f t="shared" si="3"/>
        <v>223</v>
      </c>
      <c r="H23" s="8">
        <v>1025</v>
      </c>
      <c r="I23" s="8">
        <v>980</v>
      </c>
      <c r="J23" s="8">
        <v>950</v>
      </c>
      <c r="K23" s="8">
        <v>965</v>
      </c>
      <c r="L23" s="9">
        <f t="shared" si="0"/>
        <v>980</v>
      </c>
      <c r="M23" s="10">
        <f t="shared" si="1"/>
        <v>757</v>
      </c>
      <c r="N23" s="11">
        <f t="shared" si="2"/>
        <v>58</v>
      </c>
    </row>
    <row r="24" spans="1:14" hidden="1">
      <c r="A24" s="6" t="s">
        <v>146</v>
      </c>
      <c r="B24" s="6">
        <v>100</v>
      </c>
      <c r="C24" s="6" t="s">
        <v>156</v>
      </c>
      <c r="D24" s="6" t="s">
        <v>181</v>
      </c>
      <c r="E24" s="6">
        <v>160</v>
      </c>
      <c r="F24" s="6">
        <v>100</v>
      </c>
      <c r="G24" s="7">
        <f>ROUND(F24*(1+0.5),0)</f>
        <v>150</v>
      </c>
      <c r="H24" s="8">
        <v>140</v>
      </c>
      <c r="I24" s="8">
        <v>136</v>
      </c>
      <c r="J24" s="8">
        <v>130</v>
      </c>
      <c r="K24" s="8">
        <v>132</v>
      </c>
      <c r="L24" s="9">
        <f t="shared" si="0"/>
        <v>135</v>
      </c>
      <c r="M24" s="10">
        <f t="shared" si="1"/>
        <v>-15</v>
      </c>
      <c r="N24" s="11">
        <f t="shared" si="2"/>
        <v>50</v>
      </c>
    </row>
    <row r="25" spans="1:14" hidden="1">
      <c r="A25" s="6" t="s">
        <v>146</v>
      </c>
      <c r="B25" s="6">
        <v>1000</v>
      </c>
      <c r="C25" s="6" t="s">
        <v>156</v>
      </c>
      <c r="D25" s="6" t="s">
        <v>182</v>
      </c>
      <c r="E25" s="6">
        <v>1200</v>
      </c>
      <c r="F25" s="6">
        <v>920</v>
      </c>
      <c r="G25" s="7">
        <f>ROUND(F25*(1+0.5),0)</f>
        <v>1380</v>
      </c>
      <c r="H25" s="8">
        <v>1280</v>
      </c>
      <c r="I25" s="8">
        <v>1230</v>
      </c>
      <c r="J25" s="8">
        <v>1180</v>
      </c>
      <c r="K25" s="8">
        <v>1200</v>
      </c>
      <c r="L25" s="9">
        <f t="shared" si="0"/>
        <v>1223</v>
      </c>
      <c r="M25" s="10">
        <f t="shared" si="1"/>
        <v>-157</v>
      </c>
      <c r="N25" s="11">
        <f t="shared" si="2"/>
        <v>460</v>
      </c>
    </row>
    <row r="26" spans="1:14" hidden="1">
      <c r="A26" s="6" t="s">
        <v>146</v>
      </c>
      <c r="B26" s="6">
        <v>250</v>
      </c>
      <c r="C26" s="6" t="s">
        <v>156</v>
      </c>
      <c r="D26" s="6" t="s">
        <v>183</v>
      </c>
      <c r="E26" s="6">
        <v>350</v>
      </c>
      <c r="F26" s="6">
        <v>235</v>
      </c>
      <c r="G26" s="7">
        <f>ROUND(F26*(1+0.5),0)</f>
        <v>353</v>
      </c>
      <c r="H26" s="8">
        <v>348</v>
      </c>
      <c r="I26" s="8">
        <v>338</v>
      </c>
      <c r="J26" s="8">
        <v>322</v>
      </c>
      <c r="K26" s="8">
        <v>328</v>
      </c>
      <c r="L26" s="9">
        <f t="shared" si="0"/>
        <v>334</v>
      </c>
      <c r="M26" s="10">
        <f t="shared" si="1"/>
        <v>-19</v>
      </c>
      <c r="N26" s="11">
        <f t="shared" si="2"/>
        <v>118</v>
      </c>
    </row>
    <row r="27" spans="1:14" hidden="1">
      <c r="A27" s="6" t="s">
        <v>146</v>
      </c>
      <c r="B27" s="6">
        <v>500</v>
      </c>
      <c r="C27" s="6" t="s">
        <v>156</v>
      </c>
      <c r="D27" s="6" t="s">
        <v>184</v>
      </c>
      <c r="E27" s="6">
        <v>650</v>
      </c>
      <c r="F27" s="6">
        <v>460</v>
      </c>
      <c r="G27" s="7">
        <f>ROUND(F27*(1+0.5),0)</f>
        <v>690</v>
      </c>
      <c r="H27" s="8">
        <v>665</v>
      </c>
      <c r="I27" s="8">
        <v>645</v>
      </c>
      <c r="J27" s="8">
        <v>615</v>
      </c>
      <c r="K27" s="8">
        <v>630</v>
      </c>
      <c r="L27" s="9">
        <f t="shared" si="0"/>
        <v>639</v>
      </c>
      <c r="M27" s="10">
        <f t="shared" si="1"/>
        <v>-51</v>
      </c>
      <c r="N27" s="11">
        <f t="shared" si="2"/>
        <v>230</v>
      </c>
    </row>
    <row r="28" spans="1:14" hidden="1">
      <c r="A28" s="6" t="s">
        <v>146</v>
      </c>
      <c r="B28" s="6">
        <v>50</v>
      </c>
      <c r="C28" s="6" t="s">
        <v>156</v>
      </c>
      <c r="D28" s="6" t="s">
        <v>185</v>
      </c>
      <c r="E28" s="6">
        <v>80</v>
      </c>
      <c r="F28" s="6">
        <v>50</v>
      </c>
      <c r="G28" s="7">
        <f>ROUND(F28*(1+0.5),0)</f>
        <v>75</v>
      </c>
      <c r="H28" s="8">
        <v>76</v>
      </c>
      <c r="I28" s="8">
        <v>73</v>
      </c>
      <c r="J28" s="8">
        <v>70</v>
      </c>
      <c r="K28" s="8">
        <v>71</v>
      </c>
      <c r="L28" s="9">
        <f t="shared" si="0"/>
        <v>73</v>
      </c>
      <c r="M28" s="10">
        <f t="shared" si="1"/>
        <v>-2</v>
      </c>
      <c r="N28" s="11">
        <f t="shared" si="2"/>
        <v>25</v>
      </c>
    </row>
    <row r="29" spans="1:14" hidden="1">
      <c r="A29" s="6" t="s">
        <v>147</v>
      </c>
      <c r="B29" s="6">
        <v>100</v>
      </c>
      <c r="C29" s="6" t="s">
        <v>155</v>
      </c>
      <c r="D29" s="6" t="s">
        <v>186</v>
      </c>
      <c r="E29" s="6">
        <v>70</v>
      </c>
      <c r="F29" s="6">
        <v>40</v>
      </c>
      <c r="G29" s="7">
        <f>ROUND(F29*(1+0.4),0)</f>
        <v>56</v>
      </c>
      <c r="H29" s="8">
        <v>60</v>
      </c>
      <c r="I29" s="8">
        <v>58</v>
      </c>
      <c r="J29" s="8">
        <v>55</v>
      </c>
      <c r="K29" s="8">
        <v>56</v>
      </c>
      <c r="L29" s="9">
        <f t="shared" si="0"/>
        <v>57</v>
      </c>
      <c r="M29" s="10">
        <f t="shared" si="1"/>
        <v>1</v>
      </c>
      <c r="N29" s="11">
        <f t="shared" si="2"/>
        <v>16</v>
      </c>
    </row>
    <row r="30" spans="1:14" hidden="1">
      <c r="A30" s="6" t="s">
        <v>114</v>
      </c>
      <c r="B30" s="6">
        <v>50</v>
      </c>
      <c r="C30" s="6" t="s">
        <v>154</v>
      </c>
      <c r="D30" s="6" t="s">
        <v>187</v>
      </c>
      <c r="E30" s="6">
        <v>35</v>
      </c>
      <c r="F30" s="6">
        <v>17</v>
      </c>
      <c r="G30" s="12">
        <f>ROUND(F30*(1+0.35),0)</f>
        <v>23</v>
      </c>
      <c r="H30" s="8">
        <v>38</v>
      </c>
      <c r="I30" s="8">
        <v>36</v>
      </c>
      <c r="J30" s="8">
        <v>35</v>
      </c>
      <c r="K30" s="8">
        <v>36</v>
      </c>
      <c r="L30" s="9">
        <f t="shared" si="0"/>
        <v>36</v>
      </c>
      <c r="M30" s="10">
        <f t="shared" si="1"/>
        <v>13</v>
      </c>
      <c r="N30" s="11">
        <f t="shared" si="2"/>
        <v>6</v>
      </c>
    </row>
    <row r="31" spans="1:14" hidden="1">
      <c r="A31" s="6" t="s">
        <v>148</v>
      </c>
      <c r="B31" s="6">
        <v>100</v>
      </c>
      <c r="C31" s="6" t="s">
        <v>154</v>
      </c>
      <c r="D31" s="6" t="s">
        <v>188</v>
      </c>
      <c r="E31" s="6">
        <v>150</v>
      </c>
      <c r="F31" s="6">
        <v>95</v>
      </c>
      <c r="G31" s="12">
        <f>ROUND(F31*(1+0.35),0)</f>
        <v>128</v>
      </c>
      <c r="H31" s="8">
        <v>190</v>
      </c>
      <c r="I31" s="8">
        <v>180</v>
      </c>
      <c r="J31" s="8">
        <v>175</v>
      </c>
      <c r="K31" s="8">
        <v>178</v>
      </c>
      <c r="L31" s="9">
        <f t="shared" si="0"/>
        <v>181</v>
      </c>
      <c r="M31" s="10">
        <f t="shared" si="1"/>
        <v>53</v>
      </c>
      <c r="N31" s="11">
        <f t="shared" si="2"/>
        <v>33</v>
      </c>
    </row>
    <row r="32" spans="1:14" hidden="1">
      <c r="A32" s="6" t="s">
        <v>149</v>
      </c>
      <c r="B32" s="6">
        <v>50</v>
      </c>
      <c r="C32" s="6" t="s">
        <v>154</v>
      </c>
      <c r="D32" s="6" t="s">
        <v>189</v>
      </c>
      <c r="E32" s="6">
        <v>80</v>
      </c>
      <c r="F32" s="6">
        <v>50</v>
      </c>
      <c r="G32" s="12">
        <f>ROUND(F32*(1+0.35),0)</f>
        <v>68</v>
      </c>
      <c r="H32" s="8">
        <v>100</v>
      </c>
      <c r="I32" s="8">
        <v>96</v>
      </c>
      <c r="J32" s="8">
        <v>92</v>
      </c>
      <c r="K32" s="8">
        <v>94</v>
      </c>
      <c r="L32" s="9">
        <f t="shared" si="0"/>
        <v>96</v>
      </c>
      <c r="M32" s="10">
        <f t="shared" si="1"/>
        <v>28</v>
      </c>
      <c r="N32" s="11">
        <f t="shared" si="2"/>
        <v>18</v>
      </c>
    </row>
    <row r="33" spans="1:14" hidden="1">
      <c r="A33" s="6" t="s">
        <v>150</v>
      </c>
      <c r="B33" s="6">
        <v>1000</v>
      </c>
      <c r="C33" s="6" t="s">
        <v>157</v>
      </c>
      <c r="D33" s="6" t="s">
        <v>190</v>
      </c>
      <c r="E33" s="6">
        <v>80</v>
      </c>
      <c r="F33" s="6">
        <v>49</v>
      </c>
      <c r="G33" s="7">
        <f>ROUND(F33*(1+0.1),0)</f>
        <v>54</v>
      </c>
      <c r="H33" s="8">
        <v>85</v>
      </c>
      <c r="I33" s="8">
        <v>82</v>
      </c>
      <c r="J33" s="8">
        <v>78</v>
      </c>
      <c r="K33" s="8">
        <v>80</v>
      </c>
      <c r="L33" s="9">
        <f t="shared" si="0"/>
        <v>81</v>
      </c>
      <c r="M33" s="10">
        <f t="shared" si="1"/>
        <v>27</v>
      </c>
      <c r="N33" s="11">
        <f t="shared" si="2"/>
        <v>5</v>
      </c>
    </row>
    <row r="34" spans="1:14" hidden="1">
      <c r="A34" s="6" t="s">
        <v>151</v>
      </c>
      <c r="B34" s="6">
        <v>250</v>
      </c>
      <c r="C34" s="6" t="s">
        <v>154</v>
      </c>
      <c r="D34" s="6" t="s">
        <v>191</v>
      </c>
      <c r="E34" s="6">
        <v>0</v>
      </c>
      <c r="F34" s="6">
        <v>48</v>
      </c>
      <c r="G34" s="12">
        <f t="shared" ref="G34:G43" si="4">ROUND(F34*(1+0.35),0)</f>
        <v>65</v>
      </c>
      <c r="H34" s="8">
        <v>63</v>
      </c>
      <c r="I34" s="8">
        <v>60</v>
      </c>
      <c r="J34" s="8">
        <v>58</v>
      </c>
      <c r="K34" s="8">
        <v>60</v>
      </c>
      <c r="L34" s="9">
        <f t="shared" si="0"/>
        <v>60</v>
      </c>
      <c r="M34" s="10">
        <f t="shared" si="1"/>
        <v>-5</v>
      </c>
      <c r="N34" s="11">
        <f t="shared" si="2"/>
        <v>17</v>
      </c>
    </row>
    <row r="35" spans="1:14" hidden="1">
      <c r="A35" s="6" t="s">
        <v>151</v>
      </c>
      <c r="B35" s="6">
        <v>500</v>
      </c>
      <c r="C35" s="6" t="s">
        <v>154</v>
      </c>
      <c r="D35" s="6" t="s">
        <v>192</v>
      </c>
      <c r="E35" s="6">
        <v>400</v>
      </c>
      <c r="F35" s="6">
        <v>95</v>
      </c>
      <c r="G35" s="12">
        <f t="shared" si="4"/>
        <v>128</v>
      </c>
      <c r="H35" s="8">
        <v>116</v>
      </c>
      <c r="I35" s="8">
        <v>112</v>
      </c>
      <c r="J35" s="8">
        <v>108</v>
      </c>
      <c r="K35" s="8">
        <v>110</v>
      </c>
      <c r="L35" s="9">
        <f t="shared" si="0"/>
        <v>112</v>
      </c>
      <c r="M35" s="10">
        <f t="shared" si="1"/>
        <v>-16</v>
      </c>
      <c r="N35" s="11">
        <f t="shared" si="2"/>
        <v>33</v>
      </c>
    </row>
    <row r="36" spans="1:14" hidden="1">
      <c r="A36" s="6" t="s">
        <v>151</v>
      </c>
      <c r="B36" s="6">
        <v>5000</v>
      </c>
      <c r="C36" s="6" t="s">
        <v>154</v>
      </c>
      <c r="D36" s="6" t="s">
        <v>193</v>
      </c>
      <c r="E36" s="6">
        <v>0</v>
      </c>
      <c r="F36" s="6">
        <v>850</v>
      </c>
      <c r="G36" s="12">
        <f t="shared" si="4"/>
        <v>1148</v>
      </c>
      <c r="H36" s="8">
        <v>1080</v>
      </c>
      <c r="I36" s="8">
        <v>1050</v>
      </c>
      <c r="J36" s="8">
        <v>1000</v>
      </c>
      <c r="K36" s="8">
        <v>1020</v>
      </c>
      <c r="L36" s="9">
        <f t="shared" si="0"/>
        <v>1038</v>
      </c>
      <c r="M36" s="10">
        <f t="shared" si="1"/>
        <v>-110</v>
      </c>
      <c r="N36" s="11">
        <f t="shared" si="2"/>
        <v>298</v>
      </c>
    </row>
    <row r="37" spans="1:14" hidden="1">
      <c r="A37" s="6" t="s">
        <v>138</v>
      </c>
      <c r="B37" s="6">
        <v>100</v>
      </c>
      <c r="C37" s="6" t="s">
        <v>154</v>
      </c>
      <c r="D37" s="6" t="s">
        <v>194</v>
      </c>
      <c r="E37" s="6">
        <v>35</v>
      </c>
      <c r="F37" s="6">
        <v>20</v>
      </c>
      <c r="G37" s="12">
        <f t="shared" si="4"/>
        <v>27</v>
      </c>
      <c r="H37" s="8">
        <v>25</v>
      </c>
      <c r="I37" s="8">
        <v>23</v>
      </c>
      <c r="J37" s="8">
        <v>22</v>
      </c>
      <c r="K37" s="8">
        <v>23</v>
      </c>
      <c r="L37" s="9">
        <f t="shared" si="0"/>
        <v>23</v>
      </c>
      <c r="M37" s="10">
        <f t="shared" si="1"/>
        <v>-4</v>
      </c>
      <c r="N37" s="11">
        <f t="shared" si="2"/>
        <v>7</v>
      </c>
    </row>
    <row r="38" spans="1:14" hidden="1">
      <c r="A38" s="6" t="s">
        <v>138</v>
      </c>
      <c r="B38" s="6">
        <v>1000</v>
      </c>
      <c r="C38" s="6" t="s">
        <v>154</v>
      </c>
      <c r="D38" s="6" t="s">
        <v>195</v>
      </c>
      <c r="E38" s="6">
        <v>320</v>
      </c>
      <c r="F38" s="6">
        <v>180</v>
      </c>
      <c r="G38" s="12">
        <f t="shared" si="4"/>
        <v>243</v>
      </c>
      <c r="H38" s="8">
        <v>218</v>
      </c>
      <c r="I38" s="8">
        <v>210</v>
      </c>
      <c r="J38" s="8">
        <v>200</v>
      </c>
      <c r="K38" s="8">
        <v>206</v>
      </c>
      <c r="L38" s="9">
        <f t="shared" si="0"/>
        <v>209</v>
      </c>
      <c r="M38" s="10">
        <f t="shared" si="1"/>
        <v>-34</v>
      </c>
      <c r="N38" s="11">
        <f t="shared" si="2"/>
        <v>63</v>
      </c>
    </row>
    <row r="39" spans="1:14" hidden="1">
      <c r="A39" s="6" t="s">
        <v>138</v>
      </c>
      <c r="B39" s="6">
        <v>250</v>
      </c>
      <c r="C39" s="6" t="s">
        <v>154</v>
      </c>
      <c r="D39" s="6" t="s">
        <v>196</v>
      </c>
      <c r="E39" s="6">
        <v>80</v>
      </c>
      <c r="F39" s="6">
        <v>50</v>
      </c>
      <c r="G39" s="12">
        <f t="shared" si="4"/>
        <v>68</v>
      </c>
      <c r="H39" s="8">
        <v>57</v>
      </c>
      <c r="I39" s="8">
        <v>55</v>
      </c>
      <c r="J39" s="8">
        <v>52</v>
      </c>
      <c r="K39" s="8">
        <v>53</v>
      </c>
      <c r="L39" s="9">
        <f t="shared" si="0"/>
        <v>54</v>
      </c>
      <c r="M39" s="10">
        <f t="shared" si="1"/>
        <v>-14</v>
      </c>
      <c r="N39" s="11">
        <f t="shared" si="2"/>
        <v>18</v>
      </c>
    </row>
    <row r="40" spans="1:14" hidden="1">
      <c r="A40" s="6" t="s">
        <v>138</v>
      </c>
      <c r="B40" s="6">
        <v>500</v>
      </c>
      <c r="C40" s="6" t="s">
        <v>154</v>
      </c>
      <c r="D40" s="6" t="s">
        <v>197</v>
      </c>
      <c r="E40" s="6">
        <v>160</v>
      </c>
      <c r="F40" s="6">
        <v>100</v>
      </c>
      <c r="G40" s="12">
        <f t="shared" si="4"/>
        <v>135</v>
      </c>
      <c r="H40" s="8">
        <v>108</v>
      </c>
      <c r="I40" s="8">
        <v>105</v>
      </c>
      <c r="J40" s="8">
        <v>100</v>
      </c>
      <c r="K40" s="8">
        <v>102</v>
      </c>
      <c r="L40" s="9">
        <f t="shared" si="0"/>
        <v>104</v>
      </c>
      <c r="M40" s="10">
        <f t="shared" si="1"/>
        <v>-31</v>
      </c>
      <c r="N40" s="11">
        <f t="shared" si="2"/>
        <v>35</v>
      </c>
    </row>
    <row r="41" spans="1:14" hidden="1">
      <c r="A41" s="6" t="s">
        <v>137</v>
      </c>
      <c r="B41" s="6">
        <v>100</v>
      </c>
      <c r="C41" s="6" t="s">
        <v>154</v>
      </c>
      <c r="D41" s="6" t="s">
        <v>198</v>
      </c>
      <c r="E41" s="6">
        <v>40</v>
      </c>
      <c r="F41" s="6">
        <v>25</v>
      </c>
      <c r="G41" s="12">
        <f t="shared" si="4"/>
        <v>34</v>
      </c>
      <c r="H41" s="8">
        <v>30</v>
      </c>
      <c r="I41" s="8">
        <v>29</v>
      </c>
      <c r="J41" s="8">
        <v>28</v>
      </c>
      <c r="K41" s="8">
        <v>29</v>
      </c>
      <c r="L41" s="9">
        <f t="shared" si="0"/>
        <v>29</v>
      </c>
      <c r="M41" s="10">
        <f t="shared" si="1"/>
        <v>-5</v>
      </c>
      <c r="N41" s="11">
        <f t="shared" si="2"/>
        <v>9</v>
      </c>
    </row>
    <row r="42" spans="1:14" hidden="1">
      <c r="A42" s="6" t="s">
        <v>137</v>
      </c>
      <c r="B42" s="6">
        <v>250</v>
      </c>
      <c r="C42" s="6" t="s">
        <v>154</v>
      </c>
      <c r="D42" s="6" t="s">
        <v>199</v>
      </c>
      <c r="E42" s="6">
        <v>100</v>
      </c>
      <c r="F42" s="6">
        <v>60</v>
      </c>
      <c r="G42" s="12">
        <f t="shared" si="4"/>
        <v>81</v>
      </c>
      <c r="H42" s="8">
        <v>70</v>
      </c>
      <c r="I42" s="8">
        <v>68</v>
      </c>
      <c r="J42" s="8">
        <v>65</v>
      </c>
      <c r="K42" s="8">
        <v>67</v>
      </c>
      <c r="L42" s="9">
        <f t="shared" si="0"/>
        <v>68</v>
      </c>
      <c r="M42" s="10">
        <f t="shared" si="1"/>
        <v>-13</v>
      </c>
      <c r="N42" s="11">
        <f t="shared" si="2"/>
        <v>21</v>
      </c>
    </row>
    <row r="43" spans="1:14" hidden="1">
      <c r="A43" s="6" t="s">
        <v>137</v>
      </c>
      <c r="B43" s="6">
        <v>500</v>
      </c>
      <c r="C43" s="6" t="s">
        <v>154</v>
      </c>
      <c r="D43" s="6" t="s">
        <v>200</v>
      </c>
      <c r="E43" s="6">
        <v>200</v>
      </c>
      <c r="F43" s="6">
        <v>120</v>
      </c>
      <c r="G43" s="12">
        <f t="shared" si="4"/>
        <v>162</v>
      </c>
      <c r="H43" s="8">
        <v>135</v>
      </c>
      <c r="I43" s="8">
        <v>130</v>
      </c>
      <c r="J43" s="8">
        <v>125</v>
      </c>
      <c r="K43" s="8">
        <v>128</v>
      </c>
      <c r="L43" s="9">
        <f t="shared" si="0"/>
        <v>130</v>
      </c>
      <c r="M43" s="10">
        <f t="shared" si="1"/>
        <v>-32</v>
      </c>
      <c r="N43" s="11">
        <f t="shared" si="2"/>
        <v>42</v>
      </c>
    </row>
    <row r="44" spans="1:14" hidden="1">
      <c r="A44" s="6" t="s">
        <v>136</v>
      </c>
      <c r="B44" s="6">
        <v>50</v>
      </c>
      <c r="C44" s="6" t="s">
        <v>153</v>
      </c>
      <c r="D44" s="6" t="s">
        <v>201</v>
      </c>
      <c r="E44" s="6"/>
      <c r="F44" s="6">
        <v>4</v>
      </c>
      <c r="G44" s="7">
        <f>ROUND(F44*(1+0.1),0)</f>
        <v>4</v>
      </c>
      <c r="H44" s="8">
        <v>10</v>
      </c>
      <c r="I44" s="8">
        <v>9</v>
      </c>
      <c r="J44" s="8">
        <v>8</v>
      </c>
      <c r="K44" s="8">
        <v>9</v>
      </c>
      <c r="L44" s="9">
        <f t="shared" si="0"/>
        <v>9</v>
      </c>
      <c r="M44" s="10">
        <f t="shared" si="1"/>
        <v>5</v>
      </c>
      <c r="N44" s="11">
        <f t="shared" si="2"/>
        <v>0</v>
      </c>
    </row>
    <row r="45" spans="1:14" hidden="1">
      <c r="A45" s="6" t="s">
        <v>135</v>
      </c>
      <c r="B45" s="6">
        <v>100</v>
      </c>
      <c r="C45" s="6" t="s">
        <v>155</v>
      </c>
      <c r="D45" s="6" t="s">
        <v>202</v>
      </c>
      <c r="E45" s="6"/>
      <c r="F45" s="6">
        <v>25</v>
      </c>
      <c r="G45" s="7">
        <f>ROUND(F45*(1+0.4),0)</f>
        <v>35</v>
      </c>
      <c r="H45" s="8">
        <v>28</v>
      </c>
      <c r="I45" s="8">
        <v>26</v>
      </c>
      <c r="J45" s="8">
        <v>25</v>
      </c>
      <c r="K45" s="8">
        <v>26</v>
      </c>
      <c r="L45" s="9">
        <f t="shared" si="0"/>
        <v>26</v>
      </c>
      <c r="M45" s="10">
        <f t="shared" si="1"/>
        <v>-9</v>
      </c>
      <c r="N45" s="11">
        <f t="shared" si="2"/>
        <v>10</v>
      </c>
    </row>
    <row r="46" spans="1:14">
      <c r="A46" s="6" t="s">
        <v>134</v>
      </c>
      <c r="B46" s="6">
        <v>1000</v>
      </c>
      <c r="C46" s="6" t="s">
        <v>153</v>
      </c>
      <c r="D46" s="6" t="s">
        <v>203</v>
      </c>
      <c r="E46" s="6"/>
      <c r="F46" s="6">
        <v>60</v>
      </c>
      <c r="G46" s="7">
        <f>ROUND(F46*(1+0.1),0)</f>
        <v>66</v>
      </c>
      <c r="H46" s="8">
        <v>72</v>
      </c>
      <c r="I46" s="8">
        <v>68</v>
      </c>
      <c r="J46" s="8">
        <v>65</v>
      </c>
      <c r="K46" s="8">
        <v>67</v>
      </c>
      <c r="L46" s="9">
        <f t="shared" si="0"/>
        <v>68</v>
      </c>
      <c r="M46" s="10">
        <f t="shared" si="1"/>
        <v>2</v>
      </c>
      <c r="N46" s="11">
        <f t="shared" si="2"/>
        <v>6</v>
      </c>
    </row>
    <row r="47" spans="1:14" hidden="1">
      <c r="A47" s="6" t="s">
        <v>133</v>
      </c>
      <c r="B47" s="6">
        <v>100</v>
      </c>
      <c r="C47" s="6" t="s">
        <v>154</v>
      </c>
      <c r="D47" s="6" t="s">
        <v>204</v>
      </c>
      <c r="E47" s="6"/>
      <c r="F47" s="6">
        <v>34</v>
      </c>
      <c r="G47" s="12">
        <f t="shared" ref="G47:G52" si="5">ROUND(F47*(1+0.35),0)</f>
        <v>46</v>
      </c>
      <c r="H47" s="8">
        <v>42</v>
      </c>
      <c r="I47" s="8">
        <v>40</v>
      </c>
      <c r="J47" s="8">
        <v>38</v>
      </c>
      <c r="K47" s="8">
        <v>39</v>
      </c>
      <c r="L47" s="9">
        <f t="shared" si="0"/>
        <v>40</v>
      </c>
      <c r="M47" s="10">
        <f t="shared" si="1"/>
        <v>-6</v>
      </c>
      <c r="N47" s="11">
        <f t="shared" si="2"/>
        <v>12</v>
      </c>
    </row>
    <row r="48" spans="1:14" hidden="1">
      <c r="A48" s="6" t="s">
        <v>133</v>
      </c>
      <c r="B48" s="6">
        <v>1000</v>
      </c>
      <c r="C48" s="6" t="s">
        <v>154</v>
      </c>
      <c r="D48" s="6" t="s">
        <v>205</v>
      </c>
      <c r="E48" s="6"/>
      <c r="F48" s="6">
        <v>325</v>
      </c>
      <c r="G48" s="12">
        <f t="shared" si="5"/>
        <v>439</v>
      </c>
      <c r="H48" s="8">
        <v>380</v>
      </c>
      <c r="I48" s="8">
        <v>368</v>
      </c>
      <c r="J48" s="8">
        <v>350</v>
      </c>
      <c r="K48" s="8">
        <v>358</v>
      </c>
      <c r="L48" s="9">
        <f t="shared" si="0"/>
        <v>364</v>
      </c>
      <c r="M48" s="10">
        <f t="shared" si="1"/>
        <v>-75</v>
      </c>
      <c r="N48" s="11">
        <f t="shared" si="2"/>
        <v>114</v>
      </c>
    </row>
    <row r="49" spans="1:14" hidden="1">
      <c r="A49" s="6" t="s">
        <v>133</v>
      </c>
      <c r="B49" s="6">
        <v>250</v>
      </c>
      <c r="C49" s="6" t="s">
        <v>154</v>
      </c>
      <c r="D49" s="6" t="s">
        <v>206</v>
      </c>
      <c r="E49" s="6"/>
      <c r="F49" s="6">
        <v>85</v>
      </c>
      <c r="G49" s="12">
        <f t="shared" si="5"/>
        <v>115</v>
      </c>
      <c r="H49" s="8">
        <v>102</v>
      </c>
      <c r="I49" s="8">
        <v>98</v>
      </c>
      <c r="J49" s="8">
        <v>95</v>
      </c>
      <c r="K49" s="8">
        <v>97</v>
      </c>
      <c r="L49" s="9">
        <f t="shared" si="0"/>
        <v>98</v>
      </c>
      <c r="M49" s="10">
        <f t="shared" si="1"/>
        <v>-17</v>
      </c>
      <c r="N49" s="11">
        <f t="shared" si="2"/>
        <v>30</v>
      </c>
    </row>
    <row r="50" spans="1:14" hidden="1">
      <c r="A50" s="6" t="s">
        <v>133</v>
      </c>
      <c r="B50" s="6">
        <v>500</v>
      </c>
      <c r="C50" s="6" t="s">
        <v>154</v>
      </c>
      <c r="D50" s="6" t="s">
        <v>207</v>
      </c>
      <c r="E50" s="6"/>
      <c r="F50" s="6">
        <v>170</v>
      </c>
      <c r="G50" s="12">
        <f t="shared" si="5"/>
        <v>230</v>
      </c>
      <c r="H50" s="8">
        <v>195</v>
      </c>
      <c r="I50" s="8">
        <v>188</v>
      </c>
      <c r="J50" s="8">
        <v>180</v>
      </c>
      <c r="K50" s="8">
        <v>185</v>
      </c>
      <c r="L50" s="9">
        <f t="shared" si="0"/>
        <v>187</v>
      </c>
      <c r="M50" s="10">
        <f t="shared" si="1"/>
        <v>-43</v>
      </c>
      <c r="N50" s="11">
        <f t="shared" si="2"/>
        <v>60</v>
      </c>
    </row>
    <row r="51" spans="1:14" hidden="1">
      <c r="A51" s="6" t="s">
        <v>133</v>
      </c>
      <c r="B51" s="6">
        <v>50</v>
      </c>
      <c r="C51" s="6" t="s">
        <v>154</v>
      </c>
      <c r="D51" s="6" t="s">
        <v>208</v>
      </c>
      <c r="E51" s="6"/>
      <c r="F51" s="6">
        <v>17</v>
      </c>
      <c r="G51" s="12">
        <f t="shared" si="5"/>
        <v>23</v>
      </c>
      <c r="H51" s="8">
        <v>23</v>
      </c>
      <c r="I51" s="8">
        <v>21</v>
      </c>
      <c r="J51" s="8">
        <v>20</v>
      </c>
      <c r="K51" s="8">
        <v>21</v>
      </c>
      <c r="L51" s="9">
        <f t="shared" si="0"/>
        <v>21</v>
      </c>
      <c r="M51" s="10">
        <f t="shared" si="1"/>
        <v>-2</v>
      </c>
      <c r="N51" s="11">
        <f t="shared" si="2"/>
        <v>6</v>
      </c>
    </row>
    <row r="52" spans="1:14" hidden="1">
      <c r="A52" s="6" t="s">
        <v>133</v>
      </c>
      <c r="B52" s="6" t="s">
        <v>115</v>
      </c>
      <c r="C52" s="6" t="s">
        <v>154</v>
      </c>
      <c r="D52" s="6" t="s">
        <v>209</v>
      </c>
      <c r="E52" s="6"/>
      <c r="F52" s="6">
        <v>320</v>
      </c>
      <c r="G52" s="12">
        <f t="shared" si="5"/>
        <v>432</v>
      </c>
      <c r="H52" s="8">
        <v>380</v>
      </c>
      <c r="I52" s="8">
        <v>368</v>
      </c>
      <c r="J52" s="8">
        <v>350</v>
      </c>
      <c r="K52" s="8">
        <v>358</v>
      </c>
      <c r="L52" s="9">
        <f t="shared" si="0"/>
        <v>364</v>
      </c>
      <c r="M52" s="10">
        <f t="shared" si="1"/>
        <v>-68</v>
      </c>
      <c r="N52" s="11">
        <f t="shared" si="2"/>
        <v>112</v>
      </c>
    </row>
    <row r="53" spans="1:14" hidden="1">
      <c r="A53" s="6" t="s">
        <v>132</v>
      </c>
      <c r="B53" s="6">
        <v>100</v>
      </c>
      <c r="C53" s="6" t="s">
        <v>156</v>
      </c>
      <c r="D53" s="6" t="s">
        <v>210</v>
      </c>
      <c r="E53" s="6"/>
      <c r="F53" s="6">
        <v>50</v>
      </c>
      <c r="G53" s="7">
        <f>ROUND(F53*(1+0.5),0)</f>
        <v>75</v>
      </c>
      <c r="H53" s="8">
        <v>72</v>
      </c>
      <c r="I53" s="8">
        <v>68</v>
      </c>
      <c r="J53" s="8">
        <v>65</v>
      </c>
      <c r="K53" s="8">
        <v>67</v>
      </c>
      <c r="L53" s="9">
        <f t="shared" si="0"/>
        <v>68</v>
      </c>
      <c r="M53" s="10">
        <f t="shared" si="1"/>
        <v>-7</v>
      </c>
      <c r="N53" s="11">
        <f t="shared" si="2"/>
        <v>25</v>
      </c>
    </row>
    <row r="54" spans="1:14" hidden="1">
      <c r="A54" s="6" t="s">
        <v>132</v>
      </c>
      <c r="B54" s="6">
        <v>1000</v>
      </c>
      <c r="C54" s="6" t="s">
        <v>156</v>
      </c>
      <c r="D54" s="6" t="s">
        <v>211</v>
      </c>
      <c r="E54" s="6"/>
      <c r="F54" s="6">
        <v>450</v>
      </c>
      <c r="G54" s="7">
        <f>ROUND(F54*(1+0.5),0)</f>
        <v>675</v>
      </c>
      <c r="H54" s="8">
        <v>628</v>
      </c>
      <c r="I54" s="8">
        <v>610</v>
      </c>
      <c r="J54" s="8">
        <v>580</v>
      </c>
      <c r="K54" s="8">
        <v>598</v>
      </c>
      <c r="L54" s="9">
        <f t="shared" si="0"/>
        <v>604</v>
      </c>
      <c r="M54" s="10">
        <f t="shared" si="1"/>
        <v>-71</v>
      </c>
      <c r="N54" s="11">
        <f t="shared" si="2"/>
        <v>225</v>
      </c>
    </row>
    <row r="55" spans="1:14" hidden="1">
      <c r="A55" s="6" t="s">
        <v>132</v>
      </c>
      <c r="B55" s="6">
        <v>250</v>
      </c>
      <c r="C55" s="6" t="s">
        <v>156</v>
      </c>
      <c r="D55" s="6" t="s">
        <v>212</v>
      </c>
      <c r="E55" s="6"/>
      <c r="F55" s="6">
        <v>115</v>
      </c>
      <c r="G55" s="7">
        <f>ROUND(F55*(1+0.5),0)</f>
        <v>173</v>
      </c>
      <c r="H55" s="8">
        <v>178</v>
      </c>
      <c r="I55" s="8">
        <v>172</v>
      </c>
      <c r="J55" s="8">
        <v>165</v>
      </c>
      <c r="K55" s="8">
        <v>169</v>
      </c>
      <c r="L55" s="9">
        <f t="shared" si="0"/>
        <v>171</v>
      </c>
      <c r="M55" s="10">
        <f t="shared" si="1"/>
        <v>-2</v>
      </c>
      <c r="N55" s="11">
        <f t="shared" si="2"/>
        <v>58</v>
      </c>
    </row>
    <row r="56" spans="1:14" hidden="1">
      <c r="A56" s="6" t="s">
        <v>132</v>
      </c>
      <c r="B56" s="6">
        <v>500</v>
      </c>
      <c r="C56" s="6" t="s">
        <v>156</v>
      </c>
      <c r="D56" s="6" t="s">
        <v>213</v>
      </c>
      <c r="E56" s="6"/>
      <c r="F56" s="6">
        <v>225</v>
      </c>
      <c r="G56" s="7">
        <f>ROUND(F56*(1+0.5),0)</f>
        <v>338</v>
      </c>
      <c r="H56" s="8">
        <v>335</v>
      </c>
      <c r="I56" s="8">
        <v>325</v>
      </c>
      <c r="J56" s="8">
        <v>310</v>
      </c>
      <c r="K56" s="8">
        <v>316</v>
      </c>
      <c r="L56" s="9">
        <f t="shared" si="0"/>
        <v>322</v>
      </c>
      <c r="M56" s="10">
        <f t="shared" si="1"/>
        <v>-16</v>
      </c>
      <c r="N56" s="11">
        <f t="shared" si="2"/>
        <v>113</v>
      </c>
    </row>
    <row r="57" spans="1:14" hidden="1">
      <c r="A57" s="6" t="s">
        <v>132</v>
      </c>
      <c r="B57" s="6">
        <v>50</v>
      </c>
      <c r="C57" s="6" t="s">
        <v>156</v>
      </c>
      <c r="D57" s="6" t="s">
        <v>214</v>
      </c>
      <c r="E57" s="6"/>
      <c r="F57" s="6">
        <v>25</v>
      </c>
      <c r="G57" s="7">
        <f>ROUND(F57*(1+0.5),0)</f>
        <v>38</v>
      </c>
      <c r="H57" s="8">
        <v>39</v>
      </c>
      <c r="I57" s="8">
        <v>38</v>
      </c>
      <c r="J57" s="8">
        <v>36</v>
      </c>
      <c r="K57" s="8">
        <v>37</v>
      </c>
      <c r="L57" s="9">
        <f t="shared" si="0"/>
        <v>38</v>
      </c>
      <c r="M57" s="10">
        <f t="shared" si="1"/>
        <v>0</v>
      </c>
      <c r="N57" s="11">
        <f t="shared" si="2"/>
        <v>13</v>
      </c>
    </row>
    <row r="58" spans="1:14" hidden="1">
      <c r="A58" s="6" t="s">
        <v>131</v>
      </c>
      <c r="B58" s="6">
        <v>100</v>
      </c>
      <c r="C58" s="6" t="s">
        <v>154</v>
      </c>
      <c r="D58" s="6" t="s">
        <v>215</v>
      </c>
      <c r="E58" s="6"/>
      <c r="F58" s="6">
        <v>14</v>
      </c>
      <c r="G58" s="12">
        <f t="shared" ref="G58:G67" si="6">ROUND(F58*(1+0.35),0)</f>
        <v>19</v>
      </c>
      <c r="H58" s="8">
        <v>25</v>
      </c>
      <c r="I58" s="8">
        <v>23</v>
      </c>
      <c r="J58" s="8">
        <v>22</v>
      </c>
      <c r="K58" s="8">
        <v>23</v>
      </c>
      <c r="L58" s="9">
        <f t="shared" si="0"/>
        <v>23</v>
      </c>
      <c r="M58" s="10">
        <f t="shared" si="1"/>
        <v>4</v>
      </c>
      <c r="N58" s="11">
        <f t="shared" si="2"/>
        <v>5</v>
      </c>
    </row>
    <row r="59" spans="1:14" hidden="1">
      <c r="A59" s="6" t="s">
        <v>131</v>
      </c>
      <c r="B59" s="6">
        <v>50</v>
      </c>
      <c r="C59" s="6" t="s">
        <v>154</v>
      </c>
      <c r="D59" s="6" t="s">
        <v>216</v>
      </c>
      <c r="E59" s="6"/>
      <c r="F59" s="6">
        <v>7</v>
      </c>
      <c r="G59" s="12">
        <f t="shared" si="6"/>
        <v>9</v>
      </c>
      <c r="H59" s="8">
        <v>14</v>
      </c>
      <c r="I59" s="8">
        <v>12</v>
      </c>
      <c r="J59" s="8">
        <v>12</v>
      </c>
      <c r="K59" s="8">
        <v>13</v>
      </c>
      <c r="L59" s="9">
        <f t="shared" si="0"/>
        <v>13</v>
      </c>
      <c r="M59" s="10">
        <f t="shared" si="1"/>
        <v>4</v>
      </c>
      <c r="N59" s="11">
        <f t="shared" si="2"/>
        <v>2</v>
      </c>
    </row>
    <row r="60" spans="1:14" hidden="1">
      <c r="A60" s="6" t="s">
        <v>131</v>
      </c>
      <c r="B60" s="6">
        <v>1000</v>
      </c>
      <c r="C60" s="6" t="s">
        <v>154</v>
      </c>
      <c r="D60" s="6" t="s">
        <v>217</v>
      </c>
      <c r="E60" s="6"/>
      <c r="F60" s="6">
        <v>110</v>
      </c>
      <c r="G60" s="12">
        <f t="shared" si="6"/>
        <v>149</v>
      </c>
      <c r="H60" s="8">
        <v>210</v>
      </c>
      <c r="I60" s="8">
        <v>205</v>
      </c>
      <c r="J60" s="8">
        <v>195</v>
      </c>
      <c r="K60" s="8">
        <v>200</v>
      </c>
      <c r="L60" s="9">
        <f t="shared" si="0"/>
        <v>203</v>
      </c>
      <c r="M60" s="10">
        <f t="shared" si="1"/>
        <v>54</v>
      </c>
      <c r="N60" s="11">
        <f t="shared" si="2"/>
        <v>39</v>
      </c>
    </row>
    <row r="61" spans="1:14" hidden="1">
      <c r="A61" s="6" t="s">
        <v>131</v>
      </c>
      <c r="B61" s="6">
        <v>250</v>
      </c>
      <c r="C61" s="6" t="s">
        <v>154</v>
      </c>
      <c r="D61" s="6" t="s">
        <v>218</v>
      </c>
      <c r="E61" s="6"/>
      <c r="F61" s="6">
        <v>35</v>
      </c>
      <c r="G61" s="12">
        <f t="shared" si="6"/>
        <v>47</v>
      </c>
      <c r="H61" s="8">
        <v>57</v>
      </c>
      <c r="I61" s="8">
        <v>54</v>
      </c>
      <c r="J61" s="8">
        <v>52</v>
      </c>
      <c r="K61" s="8">
        <v>53</v>
      </c>
      <c r="L61" s="9">
        <f t="shared" si="0"/>
        <v>54</v>
      </c>
      <c r="M61" s="10">
        <f t="shared" si="1"/>
        <v>7</v>
      </c>
      <c r="N61" s="11">
        <f t="shared" si="2"/>
        <v>12</v>
      </c>
    </row>
    <row r="62" spans="1:14" hidden="1">
      <c r="A62" s="6" t="s">
        <v>130</v>
      </c>
      <c r="B62" s="6">
        <v>100</v>
      </c>
      <c r="C62" s="6" t="s">
        <v>154</v>
      </c>
      <c r="D62" s="6" t="s">
        <v>219</v>
      </c>
      <c r="E62" s="6"/>
      <c r="F62" s="6">
        <v>13</v>
      </c>
      <c r="G62" s="12">
        <f t="shared" si="6"/>
        <v>18</v>
      </c>
      <c r="H62" s="8">
        <v>20</v>
      </c>
      <c r="I62" s="8">
        <v>18</v>
      </c>
      <c r="J62" s="8">
        <v>18</v>
      </c>
      <c r="K62" s="8">
        <v>18</v>
      </c>
      <c r="L62" s="9">
        <f t="shared" si="0"/>
        <v>19</v>
      </c>
      <c r="M62" s="10">
        <f t="shared" si="1"/>
        <v>1</v>
      </c>
      <c r="N62" s="11">
        <f t="shared" si="2"/>
        <v>5</v>
      </c>
    </row>
    <row r="63" spans="1:14" hidden="1">
      <c r="A63" s="6" t="s">
        <v>130</v>
      </c>
      <c r="B63" s="6">
        <v>1000</v>
      </c>
      <c r="C63" s="6" t="s">
        <v>154</v>
      </c>
      <c r="D63" s="6" t="s">
        <v>220</v>
      </c>
      <c r="E63" s="6"/>
      <c r="F63" s="6">
        <v>130</v>
      </c>
      <c r="G63" s="12">
        <f t="shared" si="6"/>
        <v>176</v>
      </c>
      <c r="H63" s="8">
        <v>168</v>
      </c>
      <c r="I63" s="8">
        <v>162</v>
      </c>
      <c r="J63" s="8">
        <v>155</v>
      </c>
      <c r="K63" s="8">
        <v>158</v>
      </c>
      <c r="L63" s="9">
        <f t="shared" si="0"/>
        <v>161</v>
      </c>
      <c r="M63" s="10">
        <f t="shared" si="1"/>
        <v>-15</v>
      </c>
      <c r="N63" s="11">
        <f t="shared" si="2"/>
        <v>46</v>
      </c>
    </row>
    <row r="64" spans="1:14" hidden="1">
      <c r="A64" s="6" t="s">
        <v>130</v>
      </c>
      <c r="B64" s="6">
        <v>500</v>
      </c>
      <c r="C64" s="6" t="s">
        <v>154</v>
      </c>
      <c r="D64" s="6" t="s">
        <v>221</v>
      </c>
      <c r="E64" s="6"/>
      <c r="F64" s="6">
        <v>65</v>
      </c>
      <c r="G64" s="12">
        <f t="shared" si="6"/>
        <v>88</v>
      </c>
      <c r="H64" s="8">
        <v>85</v>
      </c>
      <c r="I64" s="8">
        <v>82</v>
      </c>
      <c r="J64" s="8">
        <v>78</v>
      </c>
      <c r="K64" s="8">
        <v>80</v>
      </c>
      <c r="L64" s="9">
        <f t="shared" si="0"/>
        <v>81</v>
      </c>
      <c r="M64" s="10">
        <f t="shared" si="1"/>
        <v>-7</v>
      </c>
      <c r="N64" s="11">
        <f t="shared" si="2"/>
        <v>23</v>
      </c>
    </row>
    <row r="65" spans="1:14" hidden="1">
      <c r="A65" s="6" t="s">
        <v>130</v>
      </c>
      <c r="B65" s="6">
        <v>50</v>
      </c>
      <c r="C65" s="6" t="s">
        <v>154</v>
      </c>
      <c r="D65" s="6" t="s">
        <v>222</v>
      </c>
      <c r="E65" s="6"/>
      <c r="F65" s="6">
        <v>6.5</v>
      </c>
      <c r="G65" s="12">
        <f t="shared" si="6"/>
        <v>9</v>
      </c>
      <c r="H65" s="8">
        <v>12</v>
      </c>
      <c r="I65" s="8">
        <v>10</v>
      </c>
      <c r="J65" s="8">
        <v>10</v>
      </c>
      <c r="K65" s="8">
        <v>11</v>
      </c>
      <c r="L65" s="9">
        <f t="shared" si="0"/>
        <v>11</v>
      </c>
      <c r="M65" s="10">
        <f t="shared" si="1"/>
        <v>2</v>
      </c>
      <c r="N65" s="11">
        <f t="shared" si="2"/>
        <v>3</v>
      </c>
    </row>
    <row r="66" spans="1:14" hidden="1">
      <c r="A66" s="6" t="s">
        <v>130</v>
      </c>
      <c r="B66" s="6" t="s">
        <v>115</v>
      </c>
      <c r="C66" s="6" t="s">
        <v>154</v>
      </c>
      <c r="D66" s="6" t="s">
        <v>223</v>
      </c>
      <c r="E66" s="6"/>
      <c r="F66" s="6">
        <v>120</v>
      </c>
      <c r="G66" s="12">
        <f t="shared" si="6"/>
        <v>162</v>
      </c>
      <c r="H66" s="8">
        <v>168</v>
      </c>
      <c r="I66" s="8">
        <v>162</v>
      </c>
      <c r="J66" s="8">
        <v>155</v>
      </c>
      <c r="K66" s="8">
        <v>158</v>
      </c>
      <c r="L66" s="9">
        <f t="shared" ref="L66:L93" si="7">ROUND(AVERAGE(H66:K66),0)</f>
        <v>161</v>
      </c>
      <c r="M66" s="10">
        <f t="shared" ref="M66:M93" si="8">ROUND(L66-G66,0)</f>
        <v>-1</v>
      </c>
      <c r="N66" s="11">
        <f t="shared" ref="N66:N93" si="9">ROUND(G66-F66,0)</f>
        <v>42</v>
      </c>
    </row>
    <row r="67" spans="1:14" hidden="1">
      <c r="A67" s="6" t="s">
        <v>130</v>
      </c>
      <c r="B67" s="6">
        <v>250</v>
      </c>
      <c r="C67" s="6" t="s">
        <v>154</v>
      </c>
      <c r="D67" s="6" t="s">
        <v>224</v>
      </c>
      <c r="E67" s="6"/>
      <c r="F67" s="6">
        <v>32</v>
      </c>
      <c r="G67" s="12">
        <f t="shared" si="6"/>
        <v>43</v>
      </c>
      <c r="H67" s="8">
        <v>43</v>
      </c>
      <c r="I67" s="8">
        <v>42</v>
      </c>
      <c r="J67" s="8">
        <v>40</v>
      </c>
      <c r="K67" s="8">
        <v>41</v>
      </c>
      <c r="L67" s="9">
        <f t="shared" si="7"/>
        <v>42</v>
      </c>
      <c r="M67" s="10">
        <f t="shared" si="8"/>
        <v>-1</v>
      </c>
      <c r="N67" s="11">
        <f t="shared" si="9"/>
        <v>11</v>
      </c>
    </row>
    <row r="68" spans="1:14" hidden="1">
      <c r="A68" s="6" t="s">
        <v>129</v>
      </c>
      <c r="B68" s="6">
        <v>100</v>
      </c>
      <c r="C68" s="6" t="s">
        <v>155</v>
      </c>
      <c r="D68" s="6" t="s">
        <v>225</v>
      </c>
      <c r="E68" s="6"/>
      <c r="F68" s="6">
        <v>22</v>
      </c>
      <c r="G68" s="7">
        <f>ROUND(F68*(1+0.4),0)</f>
        <v>31</v>
      </c>
      <c r="H68" s="8">
        <v>32</v>
      </c>
      <c r="I68" s="8">
        <v>30</v>
      </c>
      <c r="J68" s="8">
        <v>28</v>
      </c>
      <c r="K68" s="8">
        <v>29</v>
      </c>
      <c r="L68" s="9">
        <f t="shared" si="7"/>
        <v>30</v>
      </c>
      <c r="M68" s="10">
        <f t="shared" si="8"/>
        <v>-1</v>
      </c>
      <c r="N68" s="11">
        <f t="shared" si="9"/>
        <v>9</v>
      </c>
    </row>
    <row r="69" spans="1:14" hidden="1">
      <c r="A69" s="6" t="s">
        <v>128</v>
      </c>
      <c r="B69" s="6">
        <v>50</v>
      </c>
      <c r="C69" s="6" t="s">
        <v>156</v>
      </c>
      <c r="D69" s="6" t="s">
        <v>226</v>
      </c>
      <c r="E69" s="6"/>
      <c r="F69" s="6">
        <v>150</v>
      </c>
      <c r="G69" s="7">
        <f>ROUND(F69*(1+0.5),0)</f>
        <v>225</v>
      </c>
      <c r="H69" s="8">
        <v>345</v>
      </c>
      <c r="I69" s="8">
        <v>335</v>
      </c>
      <c r="J69" s="8">
        <v>320</v>
      </c>
      <c r="K69" s="8">
        <v>328</v>
      </c>
      <c r="L69" s="9">
        <f t="shared" si="7"/>
        <v>332</v>
      </c>
      <c r="M69" s="10">
        <f t="shared" si="8"/>
        <v>107</v>
      </c>
      <c r="N69" s="11">
        <f t="shared" si="9"/>
        <v>75</v>
      </c>
    </row>
    <row r="70" spans="1:14" hidden="1">
      <c r="A70" s="6" t="s">
        <v>127</v>
      </c>
      <c r="B70" s="6">
        <v>50</v>
      </c>
      <c r="C70" s="6" t="s">
        <v>155</v>
      </c>
      <c r="D70" s="6" t="s">
        <v>227</v>
      </c>
      <c r="E70" s="6"/>
      <c r="F70" s="6">
        <v>70</v>
      </c>
      <c r="G70" s="7">
        <f t="shared" ref="G70:G76" si="10">ROUND(F70*(1+0.4),0)</f>
        <v>98</v>
      </c>
      <c r="H70" s="8">
        <v>82</v>
      </c>
      <c r="I70" s="8">
        <v>78</v>
      </c>
      <c r="J70" s="8">
        <v>75</v>
      </c>
      <c r="K70" s="8">
        <v>77</v>
      </c>
      <c r="L70" s="9">
        <f t="shared" si="7"/>
        <v>78</v>
      </c>
      <c r="M70" s="10">
        <f t="shared" si="8"/>
        <v>-20</v>
      </c>
      <c r="N70" s="11">
        <f t="shared" si="9"/>
        <v>28</v>
      </c>
    </row>
    <row r="71" spans="1:14" hidden="1">
      <c r="A71" s="6" t="s">
        <v>126</v>
      </c>
      <c r="B71" s="6">
        <v>100</v>
      </c>
      <c r="C71" s="6" t="s">
        <v>155</v>
      </c>
      <c r="D71" s="6" t="s">
        <v>228</v>
      </c>
      <c r="E71" s="6"/>
      <c r="F71" s="6">
        <v>34</v>
      </c>
      <c r="G71" s="7">
        <f t="shared" si="10"/>
        <v>48</v>
      </c>
      <c r="H71" s="8">
        <v>48</v>
      </c>
      <c r="I71" s="8">
        <v>44</v>
      </c>
      <c r="J71" s="8">
        <v>42</v>
      </c>
      <c r="K71" s="8">
        <v>43</v>
      </c>
      <c r="L71" s="9">
        <f t="shared" si="7"/>
        <v>44</v>
      </c>
      <c r="M71" s="10">
        <f t="shared" si="8"/>
        <v>-4</v>
      </c>
      <c r="N71" s="11">
        <f t="shared" si="9"/>
        <v>14</v>
      </c>
    </row>
    <row r="72" spans="1:14" hidden="1">
      <c r="A72" s="6" t="s">
        <v>125</v>
      </c>
      <c r="B72" s="6">
        <v>100</v>
      </c>
      <c r="C72" s="6" t="s">
        <v>155</v>
      </c>
      <c r="D72" s="6" t="s">
        <v>229</v>
      </c>
      <c r="E72" s="6"/>
      <c r="F72" s="6">
        <v>10</v>
      </c>
      <c r="G72" s="7">
        <f t="shared" si="10"/>
        <v>14</v>
      </c>
      <c r="H72" s="8">
        <v>18</v>
      </c>
      <c r="I72" s="8">
        <v>16</v>
      </c>
      <c r="J72" s="8">
        <v>16</v>
      </c>
      <c r="K72" s="8">
        <v>17</v>
      </c>
      <c r="L72" s="9">
        <f t="shared" si="7"/>
        <v>17</v>
      </c>
      <c r="M72" s="10">
        <f t="shared" si="8"/>
        <v>3</v>
      </c>
      <c r="N72" s="11">
        <f t="shared" si="9"/>
        <v>4</v>
      </c>
    </row>
    <row r="73" spans="1:14" hidden="1">
      <c r="A73" s="6" t="s">
        <v>125</v>
      </c>
      <c r="B73" s="6" t="s">
        <v>116</v>
      </c>
      <c r="C73" s="6" t="s">
        <v>155</v>
      </c>
      <c r="D73" s="6" t="s">
        <v>230</v>
      </c>
      <c r="E73" s="6"/>
      <c r="F73" s="6">
        <v>85</v>
      </c>
      <c r="G73" s="7">
        <f t="shared" si="10"/>
        <v>119</v>
      </c>
      <c r="H73" s="8">
        <v>158</v>
      </c>
      <c r="I73" s="8">
        <v>152</v>
      </c>
      <c r="J73" s="8">
        <v>145</v>
      </c>
      <c r="K73" s="8">
        <v>148</v>
      </c>
      <c r="L73" s="9">
        <f t="shared" si="7"/>
        <v>151</v>
      </c>
      <c r="M73" s="10">
        <f t="shared" si="8"/>
        <v>32</v>
      </c>
      <c r="N73" s="11">
        <f t="shared" si="9"/>
        <v>34</v>
      </c>
    </row>
    <row r="74" spans="1:14" hidden="1">
      <c r="A74" s="6" t="s">
        <v>125</v>
      </c>
      <c r="B74" s="6">
        <v>250</v>
      </c>
      <c r="C74" s="6" t="s">
        <v>155</v>
      </c>
      <c r="D74" s="6" t="s">
        <v>231</v>
      </c>
      <c r="E74" s="6"/>
      <c r="F74" s="6">
        <v>22</v>
      </c>
      <c r="G74" s="7">
        <f t="shared" si="10"/>
        <v>31</v>
      </c>
      <c r="H74" s="8">
        <v>42</v>
      </c>
      <c r="I74" s="8">
        <v>40</v>
      </c>
      <c r="J74" s="8">
        <v>38</v>
      </c>
      <c r="K74" s="8">
        <v>39</v>
      </c>
      <c r="L74" s="9">
        <f t="shared" si="7"/>
        <v>40</v>
      </c>
      <c r="M74" s="10">
        <f t="shared" si="8"/>
        <v>9</v>
      </c>
      <c r="N74" s="11">
        <f t="shared" si="9"/>
        <v>9</v>
      </c>
    </row>
    <row r="75" spans="1:14" hidden="1">
      <c r="A75" s="6" t="s">
        <v>125</v>
      </c>
      <c r="B75" s="6">
        <v>500</v>
      </c>
      <c r="C75" s="6" t="s">
        <v>155</v>
      </c>
      <c r="D75" s="6" t="s">
        <v>232</v>
      </c>
      <c r="E75" s="6"/>
      <c r="F75" s="6">
        <v>44</v>
      </c>
      <c r="G75" s="7">
        <f t="shared" si="10"/>
        <v>62</v>
      </c>
      <c r="H75" s="8">
        <v>78</v>
      </c>
      <c r="I75" s="8">
        <v>75</v>
      </c>
      <c r="J75" s="8">
        <v>72</v>
      </c>
      <c r="K75" s="8">
        <v>74</v>
      </c>
      <c r="L75" s="9">
        <f t="shared" si="7"/>
        <v>75</v>
      </c>
      <c r="M75" s="10">
        <f t="shared" si="8"/>
        <v>13</v>
      </c>
      <c r="N75" s="11">
        <f t="shared" si="9"/>
        <v>18</v>
      </c>
    </row>
    <row r="76" spans="1:14" hidden="1">
      <c r="A76" s="6" t="s">
        <v>125</v>
      </c>
      <c r="B76" s="6">
        <v>50</v>
      </c>
      <c r="C76" s="6" t="s">
        <v>155</v>
      </c>
      <c r="D76" s="6" t="s">
        <v>233</v>
      </c>
      <c r="E76" s="6"/>
      <c r="F76" s="6">
        <v>5</v>
      </c>
      <c r="G76" s="7">
        <f t="shared" si="10"/>
        <v>7</v>
      </c>
      <c r="H76" s="8">
        <v>11</v>
      </c>
      <c r="I76" s="8">
        <v>9</v>
      </c>
      <c r="J76" s="8">
        <v>9</v>
      </c>
      <c r="K76" s="8">
        <v>10</v>
      </c>
      <c r="L76" s="9">
        <f t="shared" si="7"/>
        <v>10</v>
      </c>
      <c r="M76" s="10">
        <f t="shared" si="8"/>
        <v>3</v>
      </c>
      <c r="N76" s="11">
        <f t="shared" si="9"/>
        <v>2</v>
      </c>
    </row>
    <row r="77" spans="1:14" hidden="1">
      <c r="A77" s="6" t="s">
        <v>124</v>
      </c>
      <c r="B77" s="6">
        <v>100</v>
      </c>
      <c r="C77" s="6" t="s">
        <v>154</v>
      </c>
      <c r="D77" s="6" t="s">
        <v>234</v>
      </c>
      <c r="E77" s="6"/>
      <c r="F77" s="6">
        <v>20</v>
      </c>
      <c r="G77" s="12">
        <f t="shared" ref="G77:G82" si="11">ROUND(F77*(1+0.35),0)</f>
        <v>27</v>
      </c>
      <c r="H77" s="8">
        <v>30</v>
      </c>
      <c r="I77" s="8">
        <v>29</v>
      </c>
      <c r="J77" s="8">
        <v>28</v>
      </c>
      <c r="K77" s="8">
        <v>29</v>
      </c>
      <c r="L77" s="9">
        <f t="shared" si="7"/>
        <v>29</v>
      </c>
      <c r="M77" s="10">
        <f t="shared" si="8"/>
        <v>2</v>
      </c>
      <c r="N77" s="11">
        <f t="shared" si="9"/>
        <v>7</v>
      </c>
    </row>
    <row r="78" spans="1:14" hidden="1">
      <c r="A78" s="6" t="s">
        <v>124</v>
      </c>
      <c r="B78" s="6">
        <v>250</v>
      </c>
      <c r="C78" s="6" t="s">
        <v>154</v>
      </c>
      <c r="D78" s="6" t="s">
        <v>235</v>
      </c>
      <c r="E78" s="6"/>
      <c r="F78" s="6">
        <v>50</v>
      </c>
      <c r="G78" s="12">
        <f t="shared" si="11"/>
        <v>68</v>
      </c>
      <c r="H78" s="8">
        <v>70</v>
      </c>
      <c r="I78" s="8">
        <v>68</v>
      </c>
      <c r="J78" s="8">
        <v>65</v>
      </c>
      <c r="K78" s="8">
        <v>67</v>
      </c>
      <c r="L78" s="9">
        <f t="shared" si="7"/>
        <v>68</v>
      </c>
      <c r="M78" s="10">
        <f t="shared" si="8"/>
        <v>0</v>
      </c>
      <c r="N78" s="11">
        <f t="shared" si="9"/>
        <v>18</v>
      </c>
    </row>
    <row r="79" spans="1:14" hidden="1">
      <c r="A79" s="6" t="s">
        <v>124</v>
      </c>
      <c r="B79" s="6">
        <v>500</v>
      </c>
      <c r="C79" s="6" t="s">
        <v>154</v>
      </c>
      <c r="D79" s="6" t="s">
        <v>236</v>
      </c>
      <c r="E79" s="6"/>
      <c r="F79" s="6">
        <v>100</v>
      </c>
      <c r="G79" s="12">
        <f t="shared" si="11"/>
        <v>135</v>
      </c>
      <c r="H79" s="8">
        <v>135</v>
      </c>
      <c r="I79" s="8">
        <v>130</v>
      </c>
      <c r="J79" s="8">
        <v>125</v>
      </c>
      <c r="K79" s="8">
        <v>128</v>
      </c>
      <c r="L79" s="9">
        <f t="shared" si="7"/>
        <v>130</v>
      </c>
      <c r="M79" s="10">
        <f t="shared" si="8"/>
        <v>-5</v>
      </c>
      <c r="N79" s="11">
        <f t="shared" si="9"/>
        <v>35</v>
      </c>
    </row>
    <row r="80" spans="1:14" hidden="1">
      <c r="A80" s="6" t="s">
        <v>124</v>
      </c>
      <c r="B80" s="6">
        <v>50</v>
      </c>
      <c r="C80" s="6" t="s">
        <v>154</v>
      </c>
      <c r="D80" s="6" t="s">
        <v>237</v>
      </c>
      <c r="E80" s="6"/>
      <c r="F80" s="6">
        <v>10</v>
      </c>
      <c r="G80" s="12">
        <f t="shared" si="11"/>
        <v>14</v>
      </c>
      <c r="H80" s="8">
        <v>17</v>
      </c>
      <c r="I80" s="8">
        <v>16</v>
      </c>
      <c r="J80" s="8">
        <v>15</v>
      </c>
      <c r="K80" s="8">
        <v>16</v>
      </c>
      <c r="L80" s="9">
        <f t="shared" si="7"/>
        <v>16</v>
      </c>
      <c r="M80" s="10">
        <f t="shared" si="8"/>
        <v>2</v>
      </c>
      <c r="N80" s="11">
        <f t="shared" si="9"/>
        <v>4</v>
      </c>
    </row>
    <row r="81" spans="1:14" hidden="1">
      <c r="A81" s="6" t="s">
        <v>123</v>
      </c>
      <c r="B81" s="6">
        <v>100</v>
      </c>
      <c r="C81" s="6" t="s">
        <v>154</v>
      </c>
      <c r="D81" s="6" t="s">
        <v>238</v>
      </c>
      <c r="E81" s="6"/>
      <c r="F81" s="6">
        <v>64</v>
      </c>
      <c r="G81" s="12">
        <f t="shared" si="11"/>
        <v>86</v>
      </c>
      <c r="H81" s="8">
        <v>130</v>
      </c>
      <c r="I81" s="8">
        <v>125</v>
      </c>
      <c r="J81" s="8">
        <v>120</v>
      </c>
      <c r="K81" s="8">
        <v>122</v>
      </c>
      <c r="L81" s="9">
        <f t="shared" si="7"/>
        <v>124</v>
      </c>
      <c r="M81" s="10">
        <f t="shared" si="8"/>
        <v>38</v>
      </c>
      <c r="N81" s="11">
        <f t="shared" si="9"/>
        <v>22</v>
      </c>
    </row>
    <row r="82" spans="1:14" hidden="1">
      <c r="A82" s="6" t="s">
        <v>123</v>
      </c>
      <c r="B82" s="6">
        <v>50</v>
      </c>
      <c r="C82" s="6" t="s">
        <v>154</v>
      </c>
      <c r="D82" s="6" t="s">
        <v>239</v>
      </c>
      <c r="E82" s="6"/>
      <c r="F82" s="6">
        <v>32</v>
      </c>
      <c r="G82" s="12">
        <f t="shared" si="11"/>
        <v>43</v>
      </c>
      <c r="H82" s="8">
        <v>70</v>
      </c>
      <c r="I82" s="8">
        <v>68</v>
      </c>
      <c r="J82" s="8">
        <v>65</v>
      </c>
      <c r="K82" s="8">
        <v>67</v>
      </c>
      <c r="L82" s="9">
        <f t="shared" si="7"/>
        <v>68</v>
      </c>
      <c r="M82" s="10">
        <f t="shared" si="8"/>
        <v>25</v>
      </c>
      <c r="N82" s="11">
        <f t="shared" si="9"/>
        <v>11</v>
      </c>
    </row>
    <row r="83" spans="1:14" hidden="1">
      <c r="A83" s="6" t="s">
        <v>122</v>
      </c>
      <c r="B83" s="6">
        <v>100</v>
      </c>
      <c r="C83" s="6" t="s">
        <v>155</v>
      </c>
      <c r="D83" s="6" t="s">
        <v>240</v>
      </c>
      <c r="E83" s="6"/>
      <c r="F83" s="6">
        <v>30</v>
      </c>
      <c r="G83" s="7">
        <f>ROUND(F83*(1+0.4),0)</f>
        <v>42</v>
      </c>
      <c r="H83" s="8">
        <v>38</v>
      </c>
      <c r="I83" s="8">
        <v>36</v>
      </c>
      <c r="J83" s="8">
        <v>35</v>
      </c>
      <c r="K83" s="8">
        <v>36</v>
      </c>
      <c r="L83" s="9">
        <f t="shared" si="7"/>
        <v>36</v>
      </c>
      <c r="M83" s="10">
        <f t="shared" si="8"/>
        <v>-6</v>
      </c>
      <c r="N83" s="11">
        <f t="shared" si="9"/>
        <v>12</v>
      </c>
    </row>
    <row r="84" spans="1:14" hidden="1">
      <c r="A84" s="6" t="s">
        <v>121</v>
      </c>
      <c r="B84" s="6">
        <v>50</v>
      </c>
      <c r="C84" s="6" t="s">
        <v>154</v>
      </c>
      <c r="D84" s="6" t="s">
        <v>241</v>
      </c>
      <c r="E84" s="6"/>
      <c r="F84" s="6">
        <v>18</v>
      </c>
      <c r="G84" s="12">
        <f>ROUND(F84*(1+0.35),0)</f>
        <v>24</v>
      </c>
      <c r="H84" s="8">
        <v>30</v>
      </c>
      <c r="I84" s="8">
        <v>29</v>
      </c>
      <c r="J84" s="8">
        <v>28</v>
      </c>
      <c r="K84" s="8">
        <v>29</v>
      </c>
      <c r="L84" s="9">
        <f t="shared" si="7"/>
        <v>29</v>
      </c>
      <c r="M84" s="10">
        <f t="shared" si="8"/>
        <v>5</v>
      </c>
      <c r="N84" s="11">
        <f t="shared" si="9"/>
        <v>6</v>
      </c>
    </row>
    <row r="85" spans="1:14" hidden="1">
      <c r="A85" s="6" t="s">
        <v>120</v>
      </c>
      <c r="B85" s="6">
        <v>100</v>
      </c>
      <c r="C85" s="6" t="s">
        <v>154</v>
      </c>
      <c r="D85" s="6" t="s">
        <v>242</v>
      </c>
      <c r="E85" s="6"/>
      <c r="F85" s="6">
        <v>20</v>
      </c>
      <c r="G85" s="12">
        <f>ROUND(F85*(1+0.35),0)</f>
        <v>27</v>
      </c>
      <c r="H85" s="8">
        <v>30</v>
      </c>
      <c r="I85" s="8">
        <v>29</v>
      </c>
      <c r="J85" s="8">
        <v>28</v>
      </c>
      <c r="K85" s="8">
        <v>29</v>
      </c>
      <c r="L85" s="9">
        <f t="shared" si="7"/>
        <v>29</v>
      </c>
      <c r="M85" s="10">
        <f t="shared" si="8"/>
        <v>2</v>
      </c>
      <c r="N85" s="11">
        <f t="shared" si="9"/>
        <v>7</v>
      </c>
    </row>
    <row r="86" spans="1:14" hidden="1">
      <c r="A86" s="6" t="s">
        <v>120</v>
      </c>
      <c r="B86" s="6">
        <v>250</v>
      </c>
      <c r="C86" s="6" t="s">
        <v>154</v>
      </c>
      <c r="D86" s="6" t="s">
        <v>243</v>
      </c>
      <c r="E86" s="6"/>
      <c r="F86" s="6">
        <v>46</v>
      </c>
      <c r="G86" s="12">
        <f>ROUND(F86*(1+0.35),0)</f>
        <v>62</v>
      </c>
      <c r="H86" s="8">
        <v>70</v>
      </c>
      <c r="I86" s="8">
        <v>68</v>
      </c>
      <c r="J86" s="8">
        <v>65</v>
      </c>
      <c r="K86" s="8">
        <v>67</v>
      </c>
      <c r="L86" s="9">
        <f t="shared" si="7"/>
        <v>68</v>
      </c>
      <c r="M86" s="10">
        <f t="shared" si="8"/>
        <v>6</v>
      </c>
      <c r="N86" s="11">
        <f t="shared" si="9"/>
        <v>16</v>
      </c>
    </row>
    <row r="87" spans="1:14" hidden="1">
      <c r="A87" s="6" t="s">
        <v>120</v>
      </c>
      <c r="B87" s="6">
        <v>50</v>
      </c>
      <c r="C87" s="6" t="s">
        <v>154</v>
      </c>
      <c r="D87" s="6" t="s">
        <v>244</v>
      </c>
      <c r="E87" s="6"/>
      <c r="F87" s="6">
        <v>10</v>
      </c>
      <c r="G87" s="12">
        <f>ROUND(F87*(1+0.35),0)</f>
        <v>14</v>
      </c>
      <c r="H87" s="8">
        <v>17</v>
      </c>
      <c r="I87" s="8">
        <v>16</v>
      </c>
      <c r="J87" s="8">
        <v>15</v>
      </c>
      <c r="K87" s="8">
        <v>16</v>
      </c>
      <c r="L87" s="9">
        <f t="shared" si="7"/>
        <v>16</v>
      </c>
      <c r="M87" s="10">
        <f t="shared" si="8"/>
        <v>2</v>
      </c>
      <c r="N87" s="11">
        <f t="shared" si="9"/>
        <v>4</v>
      </c>
    </row>
    <row r="88" spans="1:14" hidden="1">
      <c r="A88" s="6" t="s">
        <v>119</v>
      </c>
      <c r="B88" s="6">
        <v>100</v>
      </c>
      <c r="C88" s="6" t="s">
        <v>155</v>
      </c>
      <c r="D88" s="6" t="s">
        <v>245</v>
      </c>
      <c r="E88" s="6"/>
      <c r="F88" s="6">
        <v>60</v>
      </c>
      <c r="G88" s="7">
        <f>ROUND(F88*(1+0.4),0)</f>
        <v>84</v>
      </c>
      <c r="H88" s="8">
        <v>75</v>
      </c>
      <c r="I88" s="8">
        <v>71</v>
      </c>
      <c r="J88" s="8">
        <v>68</v>
      </c>
      <c r="K88" s="8">
        <v>70</v>
      </c>
      <c r="L88" s="9">
        <f t="shared" si="7"/>
        <v>71</v>
      </c>
      <c r="M88" s="10">
        <f t="shared" si="8"/>
        <v>-13</v>
      </c>
      <c r="N88" s="11">
        <f t="shared" si="9"/>
        <v>24</v>
      </c>
    </row>
    <row r="89" spans="1:14" hidden="1">
      <c r="A89" s="6" t="s">
        <v>119</v>
      </c>
      <c r="B89" s="6">
        <v>50</v>
      </c>
      <c r="C89" s="6" t="s">
        <v>155</v>
      </c>
      <c r="D89" s="6" t="s">
        <v>246</v>
      </c>
      <c r="E89" s="6"/>
      <c r="F89" s="6">
        <v>30</v>
      </c>
      <c r="G89" s="7">
        <f>ROUND(F89*(1+0.4),0)</f>
        <v>42</v>
      </c>
      <c r="H89" s="8">
        <v>40</v>
      </c>
      <c r="I89" s="8">
        <v>38</v>
      </c>
      <c r="J89" s="8">
        <v>36</v>
      </c>
      <c r="K89" s="8">
        <v>37</v>
      </c>
      <c r="L89" s="9">
        <f t="shared" si="7"/>
        <v>38</v>
      </c>
      <c r="M89" s="10">
        <f t="shared" si="8"/>
        <v>-4</v>
      </c>
      <c r="N89" s="11">
        <f t="shared" si="9"/>
        <v>12</v>
      </c>
    </row>
    <row r="90" spans="1:14" hidden="1">
      <c r="A90" s="6" t="s">
        <v>118</v>
      </c>
      <c r="B90" s="6">
        <v>100</v>
      </c>
      <c r="C90" s="6" t="s">
        <v>154</v>
      </c>
      <c r="D90" s="6" t="s">
        <v>247</v>
      </c>
      <c r="E90" s="6"/>
      <c r="F90" s="6">
        <v>18</v>
      </c>
      <c r="G90" s="12">
        <f>ROUND(F90*(1+0.35),0)</f>
        <v>24</v>
      </c>
      <c r="H90" s="8">
        <v>22</v>
      </c>
      <c r="I90" s="8">
        <v>21</v>
      </c>
      <c r="J90" s="8">
        <v>20</v>
      </c>
      <c r="K90" s="8">
        <v>20</v>
      </c>
      <c r="L90" s="9">
        <f t="shared" si="7"/>
        <v>21</v>
      </c>
      <c r="M90" s="10">
        <f t="shared" si="8"/>
        <v>-3</v>
      </c>
      <c r="N90" s="11">
        <f t="shared" si="9"/>
        <v>6</v>
      </c>
    </row>
    <row r="91" spans="1:14" hidden="1">
      <c r="A91" s="6" t="s">
        <v>118</v>
      </c>
      <c r="B91" s="6">
        <v>250</v>
      </c>
      <c r="C91" s="6" t="s">
        <v>154</v>
      </c>
      <c r="D91" s="6" t="s">
        <v>248</v>
      </c>
      <c r="E91" s="6"/>
      <c r="F91" s="6">
        <v>42</v>
      </c>
      <c r="G91" s="12">
        <f>ROUND(F91*(1+0.35),0)</f>
        <v>57</v>
      </c>
      <c r="H91" s="8">
        <v>49</v>
      </c>
      <c r="I91" s="8">
        <v>47</v>
      </c>
      <c r="J91" s="8">
        <v>45</v>
      </c>
      <c r="K91" s="8">
        <v>46</v>
      </c>
      <c r="L91" s="9">
        <f t="shared" si="7"/>
        <v>47</v>
      </c>
      <c r="M91" s="10">
        <f t="shared" si="8"/>
        <v>-10</v>
      </c>
      <c r="N91" s="11">
        <f t="shared" si="9"/>
        <v>15</v>
      </c>
    </row>
    <row r="92" spans="1:14" hidden="1">
      <c r="A92" s="6" t="s">
        <v>118</v>
      </c>
      <c r="B92" s="6">
        <v>50</v>
      </c>
      <c r="C92" s="6" t="s">
        <v>154</v>
      </c>
      <c r="D92" s="6" t="s">
        <v>249</v>
      </c>
      <c r="E92" s="6"/>
      <c r="F92" s="6">
        <v>9</v>
      </c>
      <c r="G92" s="12">
        <f>ROUND(F92*(1+0.35),0)</f>
        <v>12</v>
      </c>
      <c r="H92" s="8">
        <v>13</v>
      </c>
      <c r="I92" s="8">
        <v>12</v>
      </c>
      <c r="J92" s="8">
        <v>11</v>
      </c>
      <c r="K92" s="8">
        <v>11</v>
      </c>
      <c r="L92" s="9">
        <f t="shared" si="7"/>
        <v>12</v>
      </c>
      <c r="M92" s="10">
        <f t="shared" si="8"/>
        <v>0</v>
      </c>
      <c r="N92" s="11">
        <f t="shared" si="9"/>
        <v>3</v>
      </c>
    </row>
    <row r="93" spans="1:14" hidden="1">
      <c r="A93" s="6" t="s">
        <v>117</v>
      </c>
      <c r="B93" s="6">
        <v>1000</v>
      </c>
      <c r="C93" s="6" t="s">
        <v>153</v>
      </c>
      <c r="D93" s="6" t="s">
        <v>250</v>
      </c>
      <c r="E93" s="6"/>
      <c r="F93" s="6">
        <v>49</v>
      </c>
      <c r="G93" s="7">
        <f>ROUND(F93*(1+0.1),0)</f>
        <v>54</v>
      </c>
      <c r="H93" s="8">
        <v>58</v>
      </c>
      <c r="I93" s="8">
        <v>54</v>
      </c>
      <c r="J93" s="8">
        <v>52</v>
      </c>
      <c r="K93" s="8">
        <v>53</v>
      </c>
      <c r="L93" s="9">
        <f t="shared" si="7"/>
        <v>54</v>
      </c>
      <c r="M93" s="10">
        <f t="shared" si="8"/>
        <v>0</v>
      </c>
      <c r="N93" s="11">
        <f t="shared" si="9"/>
        <v>5</v>
      </c>
    </row>
  </sheetData>
  <autoFilter ref="A1:N93" xr:uid="{E7E1390C-96C5-4151-9505-4EBB8B788364}">
    <filterColumn colId="0">
      <filters>
        <filter val="JAGGERY"/>
      </filters>
    </filterColumn>
  </autoFilter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7A2968B-49A7-488B-B99C-779D4AEC3DD9}">
          <x14:formula1>
            <xm:f>Resource!$A$1:$A$9</xm:f>
          </x14:formula1>
          <xm:sqref>C1:C1048576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F48EC-50F9-47AC-9A85-A85AE08FE582}">
  <dimension ref="A1:P107"/>
  <sheetViews>
    <sheetView tabSelected="1" workbookViewId="0">
      <selection activeCell="A2" sqref="A2"/>
    </sheetView>
  </sheetViews>
  <sheetFormatPr defaultColWidth="22.36328125" defaultRowHeight="20.5" customHeight="1"/>
  <sheetData>
    <row r="1" spans="1:16" ht="20.5" customHeight="1">
      <c r="A1" s="5" t="s">
        <v>95</v>
      </c>
      <c r="B1" s="5" t="s">
        <v>109</v>
      </c>
      <c r="C1" s="5" t="s">
        <v>139</v>
      </c>
      <c r="D1" s="5" t="s">
        <v>97</v>
      </c>
      <c r="E1" s="5" t="s">
        <v>107</v>
      </c>
      <c r="F1" s="5" t="s">
        <v>96</v>
      </c>
      <c r="G1" s="5" t="s">
        <v>98</v>
      </c>
      <c r="H1" s="5" t="s">
        <v>99</v>
      </c>
      <c r="I1" s="5" t="s">
        <v>100</v>
      </c>
      <c r="J1" s="5" t="s">
        <v>101</v>
      </c>
      <c r="K1" s="5" t="s">
        <v>102</v>
      </c>
      <c r="L1" s="5" t="s">
        <v>103</v>
      </c>
      <c r="M1" s="5" t="s">
        <v>104</v>
      </c>
      <c r="N1" s="5" t="s">
        <v>105</v>
      </c>
      <c r="O1" s="5" t="s">
        <v>251</v>
      </c>
      <c r="P1" s="13" t="s">
        <v>254</v>
      </c>
    </row>
    <row r="2" spans="1:16" ht="20.5" customHeight="1">
      <c r="A2" s="6" t="s">
        <v>130</v>
      </c>
      <c r="B2" s="6">
        <v>100</v>
      </c>
      <c r="C2" s="6" t="s">
        <v>154</v>
      </c>
      <c r="D2" s="6" t="s">
        <v>219</v>
      </c>
      <c r="E2" s="6"/>
      <c r="F2" s="6">
        <v>13</v>
      </c>
      <c r="G2" s="12">
        <f t="shared" ref="G2:G5" si="0">ROUND(F2*(1+0.35),0)</f>
        <v>18</v>
      </c>
      <c r="H2" s="8">
        <v>20</v>
      </c>
      <c r="I2" s="8">
        <v>18</v>
      </c>
      <c r="J2" s="8">
        <v>18</v>
      </c>
      <c r="K2" s="8">
        <v>18</v>
      </c>
      <c r="L2" s="9">
        <f t="shared" ref="L2:L30" si="1">ROUND(AVERAGE(H2:K2),0)</f>
        <v>19</v>
      </c>
      <c r="M2" s="10">
        <f t="shared" ref="M2:M30" si="2">ROUND(L2-G2,0)</f>
        <v>1</v>
      </c>
      <c r="N2" s="11">
        <f t="shared" ref="N2:N37" si="3">ROUND(G2-F2,0)</f>
        <v>5</v>
      </c>
      <c r="O2" s="11">
        <v>2000</v>
      </c>
      <c r="P2" t="s">
        <v>255</v>
      </c>
    </row>
    <row r="3" spans="1:16" ht="20.5" customHeight="1">
      <c r="A3" s="6" t="s">
        <v>131</v>
      </c>
      <c r="B3" s="6">
        <v>100</v>
      </c>
      <c r="C3" s="6" t="s">
        <v>154</v>
      </c>
      <c r="D3" s="6" t="s">
        <v>215</v>
      </c>
      <c r="E3" s="6"/>
      <c r="F3" s="6">
        <v>14</v>
      </c>
      <c r="G3" s="12">
        <f t="shared" si="0"/>
        <v>19</v>
      </c>
      <c r="H3" s="8">
        <v>25</v>
      </c>
      <c r="I3" s="8">
        <v>23</v>
      </c>
      <c r="J3" s="8">
        <v>22</v>
      </c>
      <c r="K3" s="8">
        <v>23</v>
      </c>
      <c r="L3" s="9">
        <f t="shared" si="1"/>
        <v>23</v>
      </c>
      <c r="M3" s="10">
        <f t="shared" si="2"/>
        <v>4</v>
      </c>
      <c r="N3" s="11">
        <f t="shared" si="3"/>
        <v>5</v>
      </c>
      <c r="O3" s="11">
        <v>2000</v>
      </c>
      <c r="P3" t="s">
        <v>255</v>
      </c>
    </row>
    <row r="4" spans="1:16" ht="20.5" customHeight="1">
      <c r="A4" s="6" t="s">
        <v>133</v>
      </c>
      <c r="B4" s="6">
        <v>100</v>
      </c>
      <c r="C4" s="6" t="s">
        <v>154</v>
      </c>
      <c r="D4" s="6" t="s">
        <v>204</v>
      </c>
      <c r="E4" s="6"/>
      <c r="F4" s="6">
        <v>34</v>
      </c>
      <c r="G4" s="12">
        <f t="shared" si="0"/>
        <v>46</v>
      </c>
      <c r="H4" s="8">
        <v>42</v>
      </c>
      <c r="I4" s="8">
        <v>40</v>
      </c>
      <c r="J4" s="8">
        <v>38</v>
      </c>
      <c r="K4" s="8">
        <v>39</v>
      </c>
      <c r="L4" s="9">
        <f t="shared" si="1"/>
        <v>40</v>
      </c>
      <c r="M4" s="10">
        <f t="shared" si="2"/>
        <v>-6</v>
      </c>
      <c r="N4" s="11">
        <f t="shared" si="3"/>
        <v>12</v>
      </c>
      <c r="O4" s="11">
        <v>2000</v>
      </c>
      <c r="P4" t="s">
        <v>255</v>
      </c>
    </row>
    <row r="5" spans="1:16" ht="20.5" customHeight="1">
      <c r="A5" s="6" t="s">
        <v>124</v>
      </c>
      <c r="B5" s="6">
        <v>100</v>
      </c>
      <c r="C5" s="6" t="s">
        <v>154</v>
      </c>
      <c r="D5" s="6" t="s">
        <v>234</v>
      </c>
      <c r="E5" s="6"/>
      <c r="F5" s="6">
        <v>20</v>
      </c>
      <c r="G5" s="12">
        <f t="shared" si="0"/>
        <v>27</v>
      </c>
      <c r="H5" s="8">
        <v>30</v>
      </c>
      <c r="I5" s="8">
        <v>29</v>
      </c>
      <c r="J5" s="8">
        <v>28</v>
      </c>
      <c r="K5" s="8">
        <v>29</v>
      </c>
      <c r="L5" s="9">
        <f t="shared" si="1"/>
        <v>29</v>
      </c>
      <c r="M5" s="10">
        <f t="shared" si="2"/>
        <v>2</v>
      </c>
      <c r="N5" s="11">
        <f t="shared" si="3"/>
        <v>7</v>
      </c>
      <c r="O5" s="11">
        <v>2000</v>
      </c>
      <c r="P5" t="s">
        <v>255</v>
      </c>
    </row>
    <row r="6" spans="1:16" ht="20.5" customHeight="1">
      <c r="A6" s="6" t="s">
        <v>118</v>
      </c>
      <c r="B6" s="6">
        <v>100</v>
      </c>
      <c r="C6" s="6" t="s">
        <v>154</v>
      </c>
      <c r="D6" s="6" t="s">
        <v>247</v>
      </c>
      <c r="E6" s="6"/>
      <c r="F6" s="6">
        <v>18</v>
      </c>
      <c r="G6" s="12">
        <f>ROUND(F6*(1+0.35),0)</f>
        <v>24</v>
      </c>
      <c r="H6" s="8">
        <v>22</v>
      </c>
      <c r="I6" s="8">
        <v>21</v>
      </c>
      <c r="J6" s="8">
        <v>20</v>
      </c>
      <c r="K6" s="8">
        <v>20</v>
      </c>
      <c r="L6" s="9">
        <f t="shared" si="1"/>
        <v>21</v>
      </c>
      <c r="M6" s="10">
        <f t="shared" si="2"/>
        <v>-3</v>
      </c>
      <c r="N6" s="11">
        <f t="shared" si="3"/>
        <v>6</v>
      </c>
      <c r="O6" s="11">
        <v>1000</v>
      </c>
      <c r="P6" t="s">
        <v>255</v>
      </c>
    </row>
    <row r="7" spans="1:16" ht="20.5" customHeight="1">
      <c r="A7" s="6" t="s">
        <v>142</v>
      </c>
      <c r="B7" s="6">
        <v>100</v>
      </c>
      <c r="C7" s="6" t="s">
        <v>154</v>
      </c>
      <c r="D7" s="6" t="s">
        <v>173</v>
      </c>
      <c r="E7" s="6">
        <v>150</v>
      </c>
      <c r="F7" s="6">
        <v>92</v>
      </c>
      <c r="G7" s="12">
        <f t="shared" ref="G7" si="4">ROUND(F7*(1+0.35),0)</f>
        <v>124</v>
      </c>
      <c r="H7" s="8">
        <v>130</v>
      </c>
      <c r="I7" s="8">
        <v>125</v>
      </c>
      <c r="J7" s="8">
        <v>120</v>
      </c>
      <c r="K7" s="8">
        <v>122</v>
      </c>
      <c r="L7" s="9">
        <f t="shared" si="1"/>
        <v>124</v>
      </c>
      <c r="M7" s="10">
        <f t="shared" si="2"/>
        <v>0</v>
      </c>
      <c r="N7" s="11">
        <f t="shared" si="3"/>
        <v>32</v>
      </c>
      <c r="O7" s="11">
        <v>1000</v>
      </c>
      <c r="P7" t="s">
        <v>255</v>
      </c>
    </row>
    <row r="8" spans="1:16" ht="20.5" customHeight="1">
      <c r="A8" s="6" t="s">
        <v>120</v>
      </c>
      <c r="B8" s="6">
        <v>100</v>
      </c>
      <c r="C8" s="6" t="s">
        <v>154</v>
      </c>
      <c r="D8" s="6" t="s">
        <v>242</v>
      </c>
      <c r="E8" s="6"/>
      <c r="F8" s="6">
        <v>20</v>
      </c>
      <c r="G8" s="12">
        <f>ROUND(F8*(1+0.35),0)</f>
        <v>27</v>
      </c>
      <c r="H8" s="8">
        <v>30</v>
      </c>
      <c r="I8" s="8">
        <v>29</v>
      </c>
      <c r="J8" s="8">
        <v>28</v>
      </c>
      <c r="K8" s="8">
        <v>29</v>
      </c>
      <c r="L8" s="9">
        <f t="shared" si="1"/>
        <v>29</v>
      </c>
      <c r="M8" s="10">
        <f t="shared" si="2"/>
        <v>2</v>
      </c>
      <c r="N8" s="11">
        <f t="shared" si="3"/>
        <v>7</v>
      </c>
      <c r="O8" s="11">
        <v>1000</v>
      </c>
      <c r="P8" t="s">
        <v>255</v>
      </c>
    </row>
    <row r="9" spans="1:16" ht="20.5" customHeight="1">
      <c r="A9" s="6" t="s">
        <v>111</v>
      </c>
      <c r="B9" s="6">
        <v>100</v>
      </c>
      <c r="C9" s="6" t="s">
        <v>154</v>
      </c>
      <c r="D9" s="6" t="s">
        <v>162</v>
      </c>
      <c r="E9" s="6">
        <v>35</v>
      </c>
      <c r="F9" s="6">
        <v>18</v>
      </c>
      <c r="G9" s="12">
        <f>ROUND(F9*(1+0.35),0)</f>
        <v>24</v>
      </c>
      <c r="H9" s="8">
        <v>32</v>
      </c>
      <c r="I9" s="8">
        <v>30</v>
      </c>
      <c r="J9" s="8">
        <v>30</v>
      </c>
      <c r="K9" s="8">
        <v>31</v>
      </c>
      <c r="L9" s="9">
        <f t="shared" si="1"/>
        <v>31</v>
      </c>
      <c r="M9" s="10">
        <f t="shared" si="2"/>
        <v>7</v>
      </c>
      <c r="N9" s="11">
        <f t="shared" si="3"/>
        <v>6</v>
      </c>
      <c r="O9" s="11">
        <v>1000</v>
      </c>
      <c r="P9" t="s">
        <v>255</v>
      </c>
    </row>
    <row r="10" spans="1:16" ht="20.5" customHeight="1">
      <c r="A10" s="6" t="s">
        <v>143</v>
      </c>
      <c r="B10" s="6">
        <v>100</v>
      </c>
      <c r="C10" s="6" t="s">
        <v>154</v>
      </c>
      <c r="D10" s="6" t="s">
        <v>177</v>
      </c>
      <c r="E10" s="6">
        <v>35</v>
      </c>
      <c r="F10" s="6">
        <v>17</v>
      </c>
      <c r="G10" s="12">
        <f t="shared" ref="G10:G14" si="5">ROUND(F10*(1+0.35),0)</f>
        <v>23</v>
      </c>
      <c r="H10" s="8">
        <v>32</v>
      </c>
      <c r="I10" s="8">
        <v>30</v>
      </c>
      <c r="J10" s="8">
        <v>30</v>
      </c>
      <c r="K10" s="8">
        <v>31</v>
      </c>
      <c r="L10" s="9">
        <f t="shared" si="1"/>
        <v>31</v>
      </c>
      <c r="M10" s="10">
        <f t="shared" si="2"/>
        <v>8</v>
      </c>
      <c r="N10" s="11">
        <f t="shared" si="3"/>
        <v>6</v>
      </c>
      <c r="O10" s="11">
        <v>1000</v>
      </c>
      <c r="P10" t="s">
        <v>255</v>
      </c>
    </row>
    <row r="11" spans="1:16" ht="20.5" customHeight="1">
      <c r="A11" s="6" t="s">
        <v>130</v>
      </c>
      <c r="B11" s="6">
        <v>50</v>
      </c>
      <c r="C11" s="6" t="s">
        <v>154</v>
      </c>
      <c r="D11" s="6" t="s">
        <v>222</v>
      </c>
      <c r="E11" s="6"/>
      <c r="F11" s="6">
        <v>6.5</v>
      </c>
      <c r="G11" s="12">
        <f t="shared" si="5"/>
        <v>9</v>
      </c>
      <c r="H11" s="8">
        <v>12</v>
      </c>
      <c r="I11" s="8">
        <v>10</v>
      </c>
      <c r="J11" s="8">
        <v>10</v>
      </c>
      <c r="K11" s="8">
        <v>11</v>
      </c>
      <c r="L11" s="9">
        <f t="shared" si="1"/>
        <v>11</v>
      </c>
      <c r="M11" s="10">
        <f t="shared" si="2"/>
        <v>2</v>
      </c>
      <c r="N11" s="11">
        <f t="shared" si="3"/>
        <v>3</v>
      </c>
      <c r="O11" s="11">
        <v>1000</v>
      </c>
      <c r="P11" t="s">
        <v>255</v>
      </c>
    </row>
    <row r="12" spans="1:16" ht="20.5" customHeight="1">
      <c r="A12" s="6" t="s">
        <v>131</v>
      </c>
      <c r="B12" s="6">
        <v>50</v>
      </c>
      <c r="C12" s="6" t="s">
        <v>154</v>
      </c>
      <c r="D12" s="6" t="s">
        <v>216</v>
      </c>
      <c r="E12" s="6"/>
      <c r="F12" s="6">
        <v>7</v>
      </c>
      <c r="G12" s="12">
        <f t="shared" si="5"/>
        <v>9</v>
      </c>
      <c r="H12" s="8">
        <v>14</v>
      </c>
      <c r="I12" s="8">
        <v>12</v>
      </c>
      <c r="J12" s="8">
        <v>12</v>
      </c>
      <c r="K12" s="8">
        <v>13</v>
      </c>
      <c r="L12" s="9">
        <f t="shared" si="1"/>
        <v>13</v>
      </c>
      <c r="M12" s="10">
        <f t="shared" si="2"/>
        <v>4</v>
      </c>
      <c r="N12" s="11">
        <f t="shared" si="3"/>
        <v>2</v>
      </c>
      <c r="O12" s="11">
        <v>1000</v>
      </c>
      <c r="P12" t="s">
        <v>255</v>
      </c>
    </row>
    <row r="13" spans="1:16" ht="20.5" customHeight="1">
      <c r="A13" s="6" t="s">
        <v>133</v>
      </c>
      <c r="B13" s="6">
        <v>50</v>
      </c>
      <c r="C13" s="6" t="s">
        <v>154</v>
      </c>
      <c r="D13" s="6" t="s">
        <v>208</v>
      </c>
      <c r="E13" s="6"/>
      <c r="F13" s="6">
        <v>17</v>
      </c>
      <c r="G13" s="12">
        <f t="shared" si="5"/>
        <v>23</v>
      </c>
      <c r="H13" s="8">
        <v>23</v>
      </c>
      <c r="I13" s="8">
        <v>21</v>
      </c>
      <c r="J13" s="8">
        <v>20</v>
      </c>
      <c r="K13" s="8">
        <v>21</v>
      </c>
      <c r="L13" s="9">
        <f t="shared" si="1"/>
        <v>21</v>
      </c>
      <c r="M13" s="10">
        <f t="shared" si="2"/>
        <v>-2</v>
      </c>
      <c r="N13" s="11">
        <f t="shared" si="3"/>
        <v>6</v>
      </c>
      <c r="O13" s="11">
        <v>1000</v>
      </c>
      <c r="P13" t="s">
        <v>255</v>
      </c>
    </row>
    <row r="14" spans="1:16" ht="20.5" customHeight="1">
      <c r="A14" s="6" t="s">
        <v>124</v>
      </c>
      <c r="B14" s="6">
        <v>50</v>
      </c>
      <c r="C14" s="6" t="s">
        <v>154</v>
      </c>
      <c r="D14" s="6" t="s">
        <v>237</v>
      </c>
      <c r="E14" s="6"/>
      <c r="F14" s="6">
        <v>10</v>
      </c>
      <c r="G14" s="12">
        <f t="shared" si="5"/>
        <v>14</v>
      </c>
      <c r="H14" s="8">
        <v>17</v>
      </c>
      <c r="I14" s="8">
        <v>16</v>
      </c>
      <c r="J14" s="8">
        <v>15</v>
      </c>
      <c r="K14" s="8">
        <v>16</v>
      </c>
      <c r="L14" s="9">
        <f t="shared" si="1"/>
        <v>16</v>
      </c>
      <c r="M14" s="10">
        <f t="shared" si="2"/>
        <v>2</v>
      </c>
      <c r="N14" s="11">
        <f t="shared" si="3"/>
        <v>4</v>
      </c>
      <c r="O14" s="11">
        <v>1000</v>
      </c>
      <c r="P14" t="s">
        <v>255</v>
      </c>
    </row>
    <row r="15" spans="1:16" ht="20.5" customHeight="1">
      <c r="A15" s="6" t="s">
        <v>118</v>
      </c>
      <c r="B15" s="6">
        <v>50</v>
      </c>
      <c r="C15" s="6" t="s">
        <v>154</v>
      </c>
      <c r="D15" s="6" t="s">
        <v>249</v>
      </c>
      <c r="E15" s="6"/>
      <c r="F15" s="6">
        <v>9</v>
      </c>
      <c r="G15" s="12">
        <f>ROUND(F15*(1+0.35),0)</f>
        <v>12</v>
      </c>
      <c r="H15" s="8">
        <v>13</v>
      </c>
      <c r="I15" s="8">
        <v>12</v>
      </c>
      <c r="J15" s="8">
        <v>11</v>
      </c>
      <c r="K15" s="8">
        <v>11</v>
      </c>
      <c r="L15" s="9">
        <f t="shared" si="1"/>
        <v>12</v>
      </c>
      <c r="M15" s="10">
        <f t="shared" si="2"/>
        <v>0</v>
      </c>
      <c r="N15" s="11">
        <f t="shared" si="3"/>
        <v>3</v>
      </c>
      <c r="O15" s="11">
        <v>1000</v>
      </c>
      <c r="P15" t="s">
        <v>255</v>
      </c>
    </row>
    <row r="16" spans="1:16" ht="20.5" customHeight="1">
      <c r="A16" s="6" t="s">
        <v>142</v>
      </c>
      <c r="B16" s="6">
        <v>50</v>
      </c>
      <c r="C16" s="6" t="s">
        <v>154</v>
      </c>
      <c r="D16" s="6" t="s">
        <v>175</v>
      </c>
      <c r="E16" s="6">
        <v>75</v>
      </c>
      <c r="F16" s="6">
        <v>46</v>
      </c>
      <c r="G16" s="12">
        <f t="shared" ref="G16" si="6">ROUND(F16*(1+0.35),0)</f>
        <v>62</v>
      </c>
      <c r="H16" s="8">
        <v>70</v>
      </c>
      <c r="I16" s="8">
        <v>68</v>
      </c>
      <c r="J16" s="8">
        <v>65</v>
      </c>
      <c r="K16" s="8">
        <v>66</v>
      </c>
      <c r="L16" s="9">
        <f t="shared" si="1"/>
        <v>67</v>
      </c>
      <c r="M16" s="10">
        <f t="shared" si="2"/>
        <v>5</v>
      </c>
      <c r="N16" s="11">
        <f t="shared" si="3"/>
        <v>16</v>
      </c>
      <c r="O16" s="11">
        <v>1000</v>
      </c>
      <c r="P16" t="s">
        <v>255</v>
      </c>
    </row>
    <row r="17" spans="1:16" ht="20.5" customHeight="1">
      <c r="A17" s="6" t="s">
        <v>149</v>
      </c>
      <c r="B17" s="6">
        <v>50</v>
      </c>
      <c r="C17" s="6" t="s">
        <v>154</v>
      </c>
      <c r="D17" s="6" t="s">
        <v>189</v>
      </c>
      <c r="E17" s="6">
        <v>80</v>
      </c>
      <c r="F17" s="6">
        <v>50</v>
      </c>
      <c r="G17" s="12">
        <f>ROUND(F17*(1+0.35),0)</f>
        <v>68</v>
      </c>
      <c r="H17" s="8">
        <v>100</v>
      </c>
      <c r="I17" s="8">
        <v>96</v>
      </c>
      <c r="J17" s="8">
        <v>92</v>
      </c>
      <c r="K17" s="8">
        <v>94</v>
      </c>
      <c r="L17" s="9">
        <f t="shared" si="1"/>
        <v>96</v>
      </c>
      <c r="M17" s="10">
        <f t="shared" si="2"/>
        <v>28</v>
      </c>
      <c r="N17" s="11">
        <f t="shared" si="3"/>
        <v>18</v>
      </c>
      <c r="O17" s="11">
        <v>500</v>
      </c>
      <c r="P17" t="s">
        <v>255</v>
      </c>
    </row>
    <row r="18" spans="1:16" ht="20.5" customHeight="1">
      <c r="A18" s="6" t="s">
        <v>145</v>
      </c>
      <c r="B18" s="6">
        <v>50</v>
      </c>
      <c r="C18" s="6" t="s">
        <v>154</v>
      </c>
      <c r="D18" s="6" t="s">
        <v>180</v>
      </c>
      <c r="E18" s="6">
        <v>225</v>
      </c>
      <c r="F18" s="6">
        <v>165</v>
      </c>
      <c r="G18" s="12">
        <f t="shared" ref="G18" si="7">ROUND(F18*(1+0.35),0)</f>
        <v>223</v>
      </c>
      <c r="H18" s="8">
        <v>1025</v>
      </c>
      <c r="I18" s="8">
        <v>980</v>
      </c>
      <c r="J18" s="8">
        <v>950</v>
      </c>
      <c r="K18" s="8">
        <v>965</v>
      </c>
      <c r="L18" s="9">
        <f t="shared" si="1"/>
        <v>980</v>
      </c>
      <c r="M18" s="10">
        <f t="shared" si="2"/>
        <v>757</v>
      </c>
      <c r="N18" s="11">
        <f t="shared" si="3"/>
        <v>58</v>
      </c>
      <c r="O18" s="11">
        <v>500</v>
      </c>
      <c r="P18" t="s">
        <v>255</v>
      </c>
    </row>
    <row r="19" spans="1:16" ht="20.5" customHeight="1">
      <c r="A19" s="6" t="s">
        <v>127</v>
      </c>
      <c r="B19" s="6">
        <v>50</v>
      </c>
      <c r="C19" s="6" t="s">
        <v>155</v>
      </c>
      <c r="D19" s="6" t="s">
        <v>227</v>
      </c>
      <c r="E19" s="6"/>
      <c r="F19" s="6">
        <v>70</v>
      </c>
      <c r="G19" s="7">
        <f t="shared" ref="G19:G20" si="8">ROUND(F19*(1+0.4),0)</f>
        <v>98</v>
      </c>
      <c r="H19" s="8">
        <v>82</v>
      </c>
      <c r="I19" s="8">
        <v>78</v>
      </c>
      <c r="J19" s="8">
        <v>75</v>
      </c>
      <c r="K19" s="8">
        <v>77</v>
      </c>
      <c r="L19" s="9">
        <f t="shared" si="1"/>
        <v>78</v>
      </c>
      <c r="M19" s="10">
        <f t="shared" si="2"/>
        <v>-20</v>
      </c>
      <c r="N19" s="11">
        <f t="shared" si="3"/>
        <v>28</v>
      </c>
      <c r="O19" s="11">
        <v>500</v>
      </c>
      <c r="P19" t="s">
        <v>255</v>
      </c>
    </row>
    <row r="20" spans="1:16" ht="20.5" customHeight="1">
      <c r="A20" s="6" t="s">
        <v>125</v>
      </c>
      <c r="B20" s="6">
        <v>500</v>
      </c>
      <c r="C20" s="6" t="s">
        <v>155</v>
      </c>
      <c r="D20" s="6" t="s">
        <v>232</v>
      </c>
      <c r="E20" s="6"/>
      <c r="F20" s="6">
        <v>44</v>
      </c>
      <c r="G20" s="7">
        <f t="shared" si="8"/>
        <v>62</v>
      </c>
      <c r="H20" s="8">
        <v>78</v>
      </c>
      <c r="I20" s="8">
        <v>75</v>
      </c>
      <c r="J20" s="8">
        <v>72</v>
      </c>
      <c r="K20" s="8">
        <v>74</v>
      </c>
      <c r="L20" s="9">
        <f t="shared" si="1"/>
        <v>75</v>
      </c>
      <c r="M20" s="10">
        <f t="shared" si="2"/>
        <v>13</v>
      </c>
      <c r="N20" s="11">
        <f t="shared" si="3"/>
        <v>18</v>
      </c>
      <c r="O20" s="11">
        <v>3000</v>
      </c>
      <c r="P20" t="s">
        <v>255</v>
      </c>
    </row>
    <row r="21" spans="1:16" ht="20.5" customHeight="1">
      <c r="A21" s="6" t="s">
        <v>146</v>
      </c>
      <c r="B21" s="6">
        <v>100</v>
      </c>
      <c r="C21" s="6" t="s">
        <v>156</v>
      </c>
      <c r="D21" s="6" t="s">
        <v>181</v>
      </c>
      <c r="E21" s="6">
        <v>160</v>
      </c>
      <c r="F21" s="6">
        <v>100</v>
      </c>
      <c r="G21" s="7">
        <f>ROUND(F21*(1+0.5),0)</f>
        <v>150</v>
      </c>
      <c r="H21" s="8">
        <v>140</v>
      </c>
      <c r="I21" s="8">
        <v>136</v>
      </c>
      <c r="J21" s="8">
        <v>130</v>
      </c>
      <c r="K21" s="8">
        <v>132</v>
      </c>
      <c r="L21" s="9">
        <f t="shared" si="1"/>
        <v>135</v>
      </c>
      <c r="M21" s="10">
        <f t="shared" si="2"/>
        <v>-15</v>
      </c>
      <c r="N21" s="11">
        <f t="shared" si="3"/>
        <v>50</v>
      </c>
      <c r="O21" s="11">
        <v>1000</v>
      </c>
      <c r="P21" t="s">
        <v>255</v>
      </c>
    </row>
    <row r="22" spans="1:16" ht="20.5" customHeight="1">
      <c r="A22" s="6" t="s">
        <v>113</v>
      </c>
      <c r="B22" s="6">
        <v>100</v>
      </c>
      <c r="C22" s="6" t="s">
        <v>156</v>
      </c>
      <c r="D22" s="6" t="s">
        <v>166</v>
      </c>
      <c r="E22" s="6">
        <v>160</v>
      </c>
      <c r="F22" s="6">
        <v>102</v>
      </c>
      <c r="G22" s="7">
        <f>ROUND(F22*(1+0.5),0)</f>
        <v>153</v>
      </c>
      <c r="H22" s="8">
        <v>108</v>
      </c>
      <c r="I22" s="8">
        <v>105</v>
      </c>
      <c r="J22" s="8">
        <v>100</v>
      </c>
      <c r="K22" s="8">
        <v>102</v>
      </c>
      <c r="L22" s="9">
        <f t="shared" si="1"/>
        <v>104</v>
      </c>
      <c r="M22" s="10">
        <f t="shared" si="2"/>
        <v>-49</v>
      </c>
      <c r="N22" s="11">
        <f t="shared" si="3"/>
        <v>51</v>
      </c>
      <c r="O22" s="11">
        <v>1000</v>
      </c>
      <c r="P22" t="s">
        <v>255</v>
      </c>
    </row>
    <row r="23" spans="1:16" ht="20.5" customHeight="1">
      <c r="A23" s="6" t="s">
        <v>132</v>
      </c>
      <c r="B23" s="6">
        <v>100</v>
      </c>
      <c r="C23" s="6" t="s">
        <v>156</v>
      </c>
      <c r="D23" s="6" t="s">
        <v>210</v>
      </c>
      <c r="E23" s="6"/>
      <c r="F23" s="6">
        <v>50</v>
      </c>
      <c r="G23" s="7">
        <f>ROUND(F23*(1+0.5),0)</f>
        <v>75</v>
      </c>
      <c r="H23" s="8">
        <v>72</v>
      </c>
      <c r="I23" s="8">
        <v>68</v>
      </c>
      <c r="J23" s="8">
        <v>65</v>
      </c>
      <c r="K23" s="8">
        <v>67</v>
      </c>
      <c r="L23" s="9">
        <f t="shared" si="1"/>
        <v>68</v>
      </c>
      <c r="M23" s="10">
        <f t="shared" si="2"/>
        <v>-7</v>
      </c>
      <c r="N23" s="11">
        <f t="shared" si="3"/>
        <v>25</v>
      </c>
      <c r="O23" s="11">
        <v>1000</v>
      </c>
      <c r="P23" t="s">
        <v>255</v>
      </c>
    </row>
    <row r="24" spans="1:16" ht="20.5" customHeight="1">
      <c r="A24" s="6" t="s">
        <v>129</v>
      </c>
      <c r="B24" s="6">
        <v>100</v>
      </c>
      <c r="C24" s="6" t="s">
        <v>155</v>
      </c>
      <c r="D24" s="6" t="s">
        <v>225</v>
      </c>
      <c r="E24" s="6"/>
      <c r="F24" s="6">
        <v>22</v>
      </c>
      <c r="G24" s="7">
        <f>ROUND(F24*(1+0.4),0)</f>
        <v>31</v>
      </c>
      <c r="H24" s="8">
        <v>32</v>
      </c>
      <c r="I24" s="8">
        <v>30</v>
      </c>
      <c r="J24" s="8">
        <v>28</v>
      </c>
      <c r="K24" s="8">
        <v>29</v>
      </c>
      <c r="L24" s="9">
        <f t="shared" si="1"/>
        <v>30</v>
      </c>
      <c r="M24" s="10">
        <f t="shared" si="2"/>
        <v>-1</v>
      </c>
      <c r="N24" s="11">
        <f t="shared" si="3"/>
        <v>9</v>
      </c>
      <c r="O24" s="11">
        <v>500</v>
      </c>
      <c r="P24" t="s">
        <v>255</v>
      </c>
    </row>
    <row r="25" spans="1:16" ht="20.5" customHeight="1">
      <c r="A25" s="6" t="s">
        <v>126</v>
      </c>
      <c r="B25" s="6">
        <v>100</v>
      </c>
      <c r="C25" s="6" t="s">
        <v>155</v>
      </c>
      <c r="D25" s="6" t="s">
        <v>228</v>
      </c>
      <c r="E25" s="6"/>
      <c r="F25" s="6">
        <v>34</v>
      </c>
      <c r="G25" s="7">
        <f t="shared" ref="G25" si="9">ROUND(F25*(1+0.4),0)</f>
        <v>48</v>
      </c>
      <c r="H25" s="8">
        <v>48</v>
      </c>
      <c r="I25" s="8">
        <v>44</v>
      </c>
      <c r="J25" s="8">
        <v>42</v>
      </c>
      <c r="K25" s="8">
        <v>43</v>
      </c>
      <c r="L25" s="9">
        <f t="shared" si="1"/>
        <v>44</v>
      </c>
      <c r="M25" s="10">
        <f t="shared" si="2"/>
        <v>-4</v>
      </c>
      <c r="N25" s="11">
        <f t="shared" si="3"/>
        <v>14</v>
      </c>
      <c r="O25" s="11">
        <v>500</v>
      </c>
      <c r="P25" t="s">
        <v>255</v>
      </c>
    </row>
    <row r="26" spans="1:16" ht="20.5" customHeight="1">
      <c r="A26" s="6" t="s">
        <v>158</v>
      </c>
      <c r="B26" s="6">
        <v>100</v>
      </c>
      <c r="C26" s="6" t="s">
        <v>155</v>
      </c>
      <c r="D26" s="6" t="s">
        <v>161</v>
      </c>
      <c r="E26" s="6">
        <v>100</v>
      </c>
      <c r="F26" s="6">
        <v>55</v>
      </c>
      <c r="G26" s="7">
        <f>ROUND(F26*(1+0.4),0)</f>
        <v>77</v>
      </c>
      <c r="H26" s="8">
        <v>95</v>
      </c>
      <c r="I26" s="8">
        <v>88</v>
      </c>
      <c r="J26" s="8">
        <v>90</v>
      </c>
      <c r="K26" s="8">
        <v>92</v>
      </c>
      <c r="L26" s="9">
        <f t="shared" si="1"/>
        <v>91</v>
      </c>
      <c r="M26" s="10">
        <f t="shared" si="2"/>
        <v>14</v>
      </c>
      <c r="N26" s="11">
        <f t="shared" si="3"/>
        <v>22</v>
      </c>
      <c r="O26" s="11">
        <v>500</v>
      </c>
      <c r="P26" t="s">
        <v>255</v>
      </c>
    </row>
    <row r="27" spans="1:16" ht="20.5" customHeight="1">
      <c r="A27" s="6" t="s">
        <v>122</v>
      </c>
      <c r="B27" s="6">
        <v>100</v>
      </c>
      <c r="C27" s="6" t="s">
        <v>155</v>
      </c>
      <c r="D27" s="6" t="s">
        <v>240</v>
      </c>
      <c r="E27" s="6"/>
      <c r="F27" s="6">
        <v>30</v>
      </c>
      <c r="G27" s="7">
        <f>ROUND(F27*(1+0.4),0)</f>
        <v>42</v>
      </c>
      <c r="H27" s="8">
        <v>38</v>
      </c>
      <c r="I27" s="8">
        <v>36</v>
      </c>
      <c r="J27" s="8">
        <v>35</v>
      </c>
      <c r="K27" s="8">
        <v>36</v>
      </c>
      <c r="L27" s="9">
        <f t="shared" si="1"/>
        <v>36</v>
      </c>
      <c r="M27" s="10">
        <f t="shared" si="2"/>
        <v>-6</v>
      </c>
      <c r="N27" s="11">
        <f t="shared" si="3"/>
        <v>12</v>
      </c>
      <c r="O27" s="11">
        <v>200</v>
      </c>
      <c r="P27" t="s">
        <v>255</v>
      </c>
    </row>
    <row r="28" spans="1:16" ht="20.5" customHeight="1">
      <c r="A28" s="6" t="s">
        <v>132</v>
      </c>
      <c r="B28" s="6">
        <v>1000</v>
      </c>
      <c r="C28" s="6" t="s">
        <v>156</v>
      </c>
      <c r="D28" s="6" t="s">
        <v>211</v>
      </c>
      <c r="E28" s="6"/>
      <c r="F28" s="6">
        <v>450</v>
      </c>
      <c r="G28" s="7">
        <f>ROUND(F28*(1+0.5),0)</f>
        <v>675</v>
      </c>
      <c r="H28" s="8">
        <v>628</v>
      </c>
      <c r="I28" s="8">
        <v>610</v>
      </c>
      <c r="J28" s="8">
        <v>580</v>
      </c>
      <c r="K28" s="8">
        <v>598</v>
      </c>
      <c r="L28" s="9">
        <f t="shared" si="1"/>
        <v>604</v>
      </c>
      <c r="M28" s="10">
        <f t="shared" si="2"/>
        <v>-71</v>
      </c>
      <c r="N28" s="11">
        <f t="shared" si="3"/>
        <v>225</v>
      </c>
      <c r="O28" s="11">
        <v>2000</v>
      </c>
      <c r="P28" t="s">
        <v>255</v>
      </c>
    </row>
    <row r="29" spans="1:16" ht="20.5" customHeight="1">
      <c r="A29" s="6" t="s">
        <v>135</v>
      </c>
      <c r="B29" s="6">
        <v>100</v>
      </c>
      <c r="C29" s="6" t="s">
        <v>155</v>
      </c>
      <c r="D29" s="6" t="s">
        <v>202</v>
      </c>
      <c r="E29" s="6"/>
      <c r="F29" s="6">
        <v>25</v>
      </c>
      <c r="G29" s="7">
        <f>ROUND(F29*(1+0.4),0)</f>
        <v>35</v>
      </c>
      <c r="H29" s="8">
        <v>28</v>
      </c>
      <c r="I29" s="8">
        <v>26</v>
      </c>
      <c r="J29" s="8">
        <v>25</v>
      </c>
      <c r="K29" s="8">
        <v>26</v>
      </c>
      <c r="L29" s="9">
        <f t="shared" si="1"/>
        <v>26</v>
      </c>
      <c r="M29" s="10">
        <f t="shared" si="2"/>
        <v>-9</v>
      </c>
      <c r="N29" s="11">
        <f t="shared" si="3"/>
        <v>10</v>
      </c>
      <c r="O29" s="11">
        <v>500</v>
      </c>
      <c r="P29" t="s">
        <v>255</v>
      </c>
    </row>
    <row r="30" spans="1:16" ht="20.5" customHeight="1">
      <c r="A30" s="6" t="s">
        <v>147</v>
      </c>
      <c r="B30" s="6">
        <v>100</v>
      </c>
      <c r="C30" s="6" t="s">
        <v>155</v>
      </c>
      <c r="D30" s="6" t="s">
        <v>186</v>
      </c>
      <c r="E30" s="6">
        <v>70</v>
      </c>
      <c r="F30" s="6">
        <v>40</v>
      </c>
      <c r="G30" s="7">
        <f>ROUND(F30*(1+0.4),0)</f>
        <v>56</v>
      </c>
      <c r="H30" s="8">
        <v>60</v>
      </c>
      <c r="I30" s="8">
        <v>58</v>
      </c>
      <c r="J30" s="8">
        <v>55</v>
      </c>
      <c r="K30" s="8">
        <v>56</v>
      </c>
      <c r="L30" s="9">
        <f t="shared" si="1"/>
        <v>57</v>
      </c>
      <c r="M30" s="10">
        <f t="shared" si="2"/>
        <v>1</v>
      </c>
      <c r="N30" s="11">
        <f t="shared" si="3"/>
        <v>16</v>
      </c>
      <c r="O30" s="11">
        <v>500</v>
      </c>
      <c r="P30" t="s">
        <v>255</v>
      </c>
    </row>
    <row r="31" spans="1:16" ht="20.5" customHeight="1">
      <c r="A31" s="6" t="s">
        <v>252</v>
      </c>
      <c r="B31" s="6">
        <v>250</v>
      </c>
      <c r="C31" s="6" t="s">
        <v>155</v>
      </c>
      <c r="D31" s="6"/>
      <c r="E31" s="6"/>
      <c r="F31" s="6">
        <v>250</v>
      </c>
      <c r="G31" s="7">
        <f>ROUND(F31*(1+0.4),0)</f>
        <v>350</v>
      </c>
      <c r="H31" s="8"/>
      <c r="I31" s="8"/>
      <c r="J31" s="8"/>
      <c r="K31" s="8"/>
      <c r="L31" s="9"/>
      <c r="M31" s="10"/>
      <c r="N31" s="11">
        <f t="shared" si="3"/>
        <v>100</v>
      </c>
      <c r="O31" s="11">
        <v>1250</v>
      </c>
      <c r="P31" t="s">
        <v>255</v>
      </c>
    </row>
    <row r="32" spans="1:16" ht="20.5" customHeight="1">
      <c r="A32" s="6" t="s">
        <v>252</v>
      </c>
      <c r="B32" s="6">
        <v>100</v>
      </c>
      <c r="C32" s="6" t="s">
        <v>155</v>
      </c>
      <c r="D32" s="6"/>
      <c r="E32" s="6"/>
      <c r="F32" s="6">
        <v>115</v>
      </c>
      <c r="G32" s="7">
        <f t="shared" ref="G32:G34" si="10">ROUND(F32*(1+0.4),0)</f>
        <v>161</v>
      </c>
      <c r="H32" s="8"/>
      <c r="I32" s="8"/>
      <c r="J32" s="8"/>
      <c r="K32" s="8"/>
      <c r="L32" s="9"/>
      <c r="M32" s="10"/>
      <c r="N32" s="11">
        <f t="shared" si="3"/>
        <v>46</v>
      </c>
      <c r="O32" s="11">
        <v>200</v>
      </c>
      <c r="P32" t="s">
        <v>255</v>
      </c>
    </row>
    <row r="33" spans="1:16" ht="20.5" customHeight="1">
      <c r="A33" s="6" t="s">
        <v>253</v>
      </c>
      <c r="B33" s="6">
        <v>100</v>
      </c>
      <c r="C33" s="6" t="s">
        <v>155</v>
      </c>
      <c r="D33" s="6"/>
      <c r="E33" s="6"/>
      <c r="F33" s="6">
        <v>135</v>
      </c>
      <c r="G33" s="7">
        <f t="shared" si="10"/>
        <v>189</v>
      </c>
      <c r="H33" s="8"/>
      <c r="I33" s="8"/>
      <c r="J33" s="8"/>
      <c r="K33" s="8"/>
      <c r="L33" s="9"/>
      <c r="M33" s="10"/>
      <c r="N33" s="11">
        <f t="shared" si="3"/>
        <v>54</v>
      </c>
      <c r="O33" s="11">
        <v>200</v>
      </c>
      <c r="P33" t="s">
        <v>255</v>
      </c>
    </row>
    <row r="34" spans="1:16" ht="20.5" customHeight="1">
      <c r="A34" s="6" t="s">
        <v>253</v>
      </c>
      <c r="B34" s="6">
        <v>250</v>
      </c>
      <c r="C34" s="6" t="s">
        <v>155</v>
      </c>
      <c r="D34" s="6"/>
      <c r="E34" s="6"/>
      <c r="F34" s="6">
        <v>325</v>
      </c>
      <c r="G34" s="7">
        <f t="shared" si="10"/>
        <v>455</v>
      </c>
      <c r="H34" s="8"/>
      <c r="I34" s="8"/>
      <c r="J34" s="8"/>
      <c r="K34" s="8"/>
      <c r="L34" s="9"/>
      <c r="M34" s="10"/>
      <c r="N34" s="11">
        <f t="shared" si="3"/>
        <v>130</v>
      </c>
      <c r="O34" s="11">
        <v>1250</v>
      </c>
      <c r="P34" t="s">
        <v>255</v>
      </c>
    </row>
    <row r="35" spans="1:16" s="3" customFormat="1" ht="14.5">
      <c r="A35" s="6" t="s">
        <v>138</v>
      </c>
      <c r="B35" s="6">
        <v>500</v>
      </c>
      <c r="C35" s="6" t="s">
        <v>154</v>
      </c>
      <c r="D35" s="6" t="s">
        <v>197</v>
      </c>
      <c r="E35" s="6">
        <v>160</v>
      </c>
      <c r="F35" s="6">
        <v>100</v>
      </c>
      <c r="G35" s="12">
        <f t="shared" ref="G35:G36" si="11">ROUND(F35*(1+0.35),0)</f>
        <v>135</v>
      </c>
      <c r="H35" s="8">
        <v>108</v>
      </c>
      <c r="I35" s="8">
        <v>105</v>
      </c>
      <c r="J35" s="8">
        <v>100</v>
      </c>
      <c r="K35" s="8">
        <v>102</v>
      </c>
      <c r="L35" s="9">
        <f t="shared" ref="L35:L37" si="12">ROUND(AVERAGE(H35:K35),0)</f>
        <v>104</v>
      </c>
      <c r="M35" s="10">
        <f t="shared" ref="M35:M37" si="13">ROUND(L35-G35,0)</f>
        <v>-31</v>
      </c>
      <c r="N35" s="11">
        <f t="shared" si="3"/>
        <v>35</v>
      </c>
      <c r="O35" s="11">
        <v>500</v>
      </c>
      <c r="P35" s="3" t="s">
        <v>255</v>
      </c>
    </row>
    <row r="36" spans="1:16" ht="20.5" customHeight="1">
      <c r="A36" s="6" t="s">
        <v>133</v>
      </c>
      <c r="B36" s="6">
        <v>1000</v>
      </c>
      <c r="C36" s="6" t="s">
        <v>154</v>
      </c>
      <c r="D36" s="6" t="s">
        <v>205</v>
      </c>
      <c r="E36" s="6"/>
      <c r="F36" s="6">
        <v>325</v>
      </c>
      <c r="G36" s="12">
        <f t="shared" si="11"/>
        <v>439</v>
      </c>
      <c r="H36" s="8">
        <v>380</v>
      </c>
      <c r="I36" s="8">
        <v>368</v>
      </c>
      <c r="J36" s="8">
        <v>350</v>
      </c>
      <c r="K36" s="8">
        <v>358</v>
      </c>
      <c r="L36" s="9">
        <f t="shared" si="12"/>
        <v>364</v>
      </c>
      <c r="M36" s="10">
        <f t="shared" si="13"/>
        <v>-75</v>
      </c>
      <c r="N36" s="11">
        <f t="shared" si="3"/>
        <v>114</v>
      </c>
      <c r="O36" s="11"/>
      <c r="P36" t="s">
        <v>255</v>
      </c>
    </row>
    <row r="37" spans="1:16" ht="20.5" customHeight="1">
      <c r="A37" s="6" t="s">
        <v>134</v>
      </c>
      <c r="B37" s="6">
        <v>1000</v>
      </c>
      <c r="C37" s="6" t="s">
        <v>153</v>
      </c>
      <c r="D37" s="6" t="s">
        <v>203</v>
      </c>
      <c r="E37" s="6"/>
      <c r="F37" s="6">
        <v>60</v>
      </c>
      <c r="G37" s="7">
        <f>ROUND(F37*(1+0.1),0)</f>
        <v>66</v>
      </c>
      <c r="H37" s="8">
        <v>72</v>
      </c>
      <c r="I37" s="8">
        <v>68</v>
      </c>
      <c r="J37" s="8">
        <v>65</v>
      </c>
      <c r="K37" s="8">
        <v>67</v>
      </c>
      <c r="L37" s="9">
        <f t="shared" si="12"/>
        <v>68</v>
      </c>
      <c r="M37" s="10">
        <f t="shared" si="13"/>
        <v>2</v>
      </c>
      <c r="N37" s="11">
        <f t="shared" si="3"/>
        <v>6</v>
      </c>
      <c r="O37" s="11"/>
      <c r="P37" t="s">
        <v>255</v>
      </c>
    </row>
    <row r="38" spans="1:16" ht="20.5" customHeight="1">
      <c r="O38" s="11"/>
    </row>
    <row r="39" spans="1:16" ht="20.5" customHeight="1">
      <c r="O39" s="11"/>
    </row>
    <row r="40" spans="1:16" ht="20.5" customHeight="1">
      <c r="O40" s="11"/>
    </row>
    <row r="41" spans="1:16" ht="20.5" customHeight="1">
      <c r="O41" s="11"/>
    </row>
    <row r="42" spans="1:16" ht="20.5" customHeight="1">
      <c r="O42" s="11"/>
    </row>
    <row r="43" spans="1:16" ht="20.5" customHeight="1">
      <c r="O43" s="11"/>
    </row>
    <row r="44" spans="1:16" ht="20.5" customHeight="1">
      <c r="O44" s="11"/>
    </row>
    <row r="45" spans="1:16" ht="20.5" customHeight="1">
      <c r="O45" s="11"/>
    </row>
    <row r="46" spans="1:16" ht="20.5" customHeight="1">
      <c r="O46" s="11"/>
    </row>
    <row r="47" spans="1:16" ht="20.5" customHeight="1">
      <c r="O47" s="11"/>
    </row>
    <row r="48" spans="1:16" ht="20.5" customHeight="1">
      <c r="O48" s="11"/>
    </row>
    <row r="49" spans="15:15" ht="20.5" customHeight="1">
      <c r="O49" s="11"/>
    </row>
    <row r="50" spans="15:15" ht="20.5" customHeight="1">
      <c r="O50" s="11"/>
    </row>
    <row r="51" spans="15:15" ht="20.5" customHeight="1">
      <c r="O51" s="11"/>
    </row>
    <row r="52" spans="15:15" ht="20.5" customHeight="1">
      <c r="O52" s="11"/>
    </row>
    <row r="53" spans="15:15" ht="20.5" customHeight="1">
      <c r="O53" s="11"/>
    </row>
    <row r="54" spans="15:15" ht="20.5" customHeight="1">
      <c r="O54" s="11"/>
    </row>
    <row r="55" spans="15:15" ht="20.5" customHeight="1">
      <c r="O55" s="11"/>
    </row>
    <row r="56" spans="15:15" ht="20.5" customHeight="1">
      <c r="O56" s="11"/>
    </row>
    <row r="57" spans="15:15" ht="20.5" customHeight="1">
      <c r="O57" s="11"/>
    </row>
    <row r="58" spans="15:15" ht="20.5" customHeight="1">
      <c r="O58" s="11"/>
    </row>
    <row r="59" spans="15:15" ht="20.5" customHeight="1">
      <c r="O59" s="11"/>
    </row>
    <row r="60" spans="15:15" ht="20.5" customHeight="1">
      <c r="O60" s="11"/>
    </row>
    <row r="61" spans="15:15" ht="20.5" customHeight="1">
      <c r="O61" s="11"/>
    </row>
    <row r="62" spans="15:15" ht="20.5" customHeight="1">
      <c r="O62" s="11"/>
    </row>
    <row r="63" spans="15:15" ht="20.5" customHeight="1">
      <c r="O63" s="11"/>
    </row>
    <row r="64" spans="15:15" ht="20.5" customHeight="1">
      <c r="O64" s="11"/>
    </row>
    <row r="65" spans="15:15" ht="20.5" customHeight="1">
      <c r="O65" s="11"/>
    </row>
    <row r="66" spans="15:15" ht="20.5" customHeight="1">
      <c r="O66" s="11"/>
    </row>
    <row r="67" spans="15:15" ht="20.5" customHeight="1">
      <c r="O67" s="11"/>
    </row>
    <row r="68" spans="15:15" ht="20.5" customHeight="1">
      <c r="O68" s="11"/>
    </row>
    <row r="69" spans="15:15" ht="20.5" customHeight="1">
      <c r="O69" s="11"/>
    </row>
    <row r="70" spans="15:15" ht="20.5" customHeight="1">
      <c r="O70" s="11"/>
    </row>
    <row r="71" spans="15:15" ht="20.5" customHeight="1">
      <c r="O71" s="11"/>
    </row>
    <row r="72" spans="15:15" ht="20.5" customHeight="1">
      <c r="O72" s="11"/>
    </row>
    <row r="73" spans="15:15" ht="20.5" customHeight="1">
      <c r="O73" s="11"/>
    </row>
    <row r="74" spans="15:15" ht="20.5" customHeight="1">
      <c r="O74" s="11"/>
    </row>
    <row r="75" spans="15:15" ht="20.5" customHeight="1">
      <c r="O75" s="11"/>
    </row>
    <row r="76" spans="15:15" ht="20.5" customHeight="1">
      <c r="O76" s="11"/>
    </row>
    <row r="77" spans="15:15" ht="20.5" customHeight="1">
      <c r="O77" s="11"/>
    </row>
    <row r="78" spans="15:15" ht="20.5" customHeight="1">
      <c r="O78" s="11"/>
    </row>
    <row r="79" spans="15:15" ht="20.5" customHeight="1">
      <c r="O79" s="11"/>
    </row>
    <row r="80" spans="15:15" ht="20.5" customHeight="1">
      <c r="O80" s="11"/>
    </row>
    <row r="81" spans="15:15" ht="20.5" customHeight="1">
      <c r="O81" s="11"/>
    </row>
    <row r="82" spans="15:15" ht="20.5" customHeight="1">
      <c r="O82" s="11"/>
    </row>
    <row r="83" spans="15:15" ht="20.5" customHeight="1">
      <c r="O83" s="11"/>
    </row>
    <row r="84" spans="15:15" ht="20.5" customHeight="1">
      <c r="O84" s="11"/>
    </row>
    <row r="85" spans="15:15" ht="20.5" customHeight="1">
      <c r="O85" s="11"/>
    </row>
    <row r="86" spans="15:15" ht="20.5" customHeight="1">
      <c r="O86" s="11"/>
    </row>
    <row r="87" spans="15:15" ht="20.5" customHeight="1">
      <c r="O87" s="11"/>
    </row>
    <row r="88" spans="15:15" ht="20.5" customHeight="1">
      <c r="O88" s="11"/>
    </row>
    <row r="89" spans="15:15" ht="20.5" customHeight="1">
      <c r="O89" s="11"/>
    </row>
    <row r="90" spans="15:15" ht="20.5" customHeight="1">
      <c r="O90" s="11"/>
    </row>
    <row r="91" spans="15:15" ht="20.5" customHeight="1">
      <c r="O91" s="11"/>
    </row>
    <row r="92" spans="15:15" ht="20.5" customHeight="1">
      <c r="O92" s="11"/>
    </row>
    <row r="93" spans="15:15" ht="20.5" customHeight="1">
      <c r="O93" s="11"/>
    </row>
    <row r="94" spans="15:15" ht="20.5" customHeight="1">
      <c r="O94" s="11"/>
    </row>
    <row r="95" spans="15:15" ht="20.5" customHeight="1">
      <c r="O95" s="11"/>
    </row>
    <row r="96" spans="15:15" ht="20.5" customHeight="1">
      <c r="O96" s="11"/>
    </row>
    <row r="97" spans="15:15" ht="20.5" customHeight="1">
      <c r="O97" s="11"/>
    </row>
    <row r="98" spans="15:15" ht="20.5" customHeight="1">
      <c r="O98" s="11"/>
    </row>
    <row r="99" spans="15:15" ht="20.5" customHeight="1">
      <c r="O99" s="11"/>
    </row>
    <row r="100" spans="15:15" ht="20.5" customHeight="1">
      <c r="O100" s="11"/>
    </row>
    <row r="101" spans="15:15" ht="20.5" customHeight="1">
      <c r="O101" s="11"/>
    </row>
    <row r="102" spans="15:15" ht="20.5" customHeight="1">
      <c r="O102" s="11"/>
    </row>
    <row r="103" spans="15:15" ht="20.5" customHeight="1">
      <c r="O103" s="11"/>
    </row>
    <row r="104" spans="15:15" ht="20.5" customHeight="1">
      <c r="O104" s="11"/>
    </row>
    <row r="105" spans="15:15" ht="20.5" customHeight="1">
      <c r="O105" s="11"/>
    </row>
    <row r="106" spans="15:15" ht="20.5" customHeight="1">
      <c r="O106" s="11"/>
    </row>
    <row r="107" spans="15:15" ht="20.5" customHeight="1">
      <c r="O107" s="11"/>
    </row>
  </sheetData>
  <autoFilter ref="A1:P37" xr:uid="{09451300-DDF3-4F6A-956E-271967EACCD6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5014630-AB96-4DC6-A451-699F00706ABB}">
          <x14:formula1>
            <xm:f>Resource!$A$1:$A$9</xm:f>
          </x14:formula1>
          <xm:sqref>C1:C30 C35:C37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D66BF-FFD7-4BAB-B881-46E65F3713DC}">
  <dimension ref="A1:A5"/>
  <sheetViews>
    <sheetView workbookViewId="0">
      <selection activeCell="O7" sqref="O7"/>
    </sheetView>
  </sheetViews>
  <sheetFormatPr defaultRowHeight="14.5"/>
  <cols>
    <col min="1" max="1" width="14" customWidth="1"/>
  </cols>
  <sheetData>
    <row r="1" spans="1:1">
      <c r="A1" t="s">
        <v>153</v>
      </c>
    </row>
    <row r="2" spans="1:1">
      <c r="A2" t="s">
        <v>154</v>
      </c>
    </row>
    <row r="3" spans="1:1">
      <c r="A3" t="s">
        <v>155</v>
      </c>
    </row>
    <row r="4" spans="1:1">
      <c r="A4" t="s">
        <v>156</v>
      </c>
    </row>
    <row r="5" spans="1:1">
      <c r="A5" s="4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Item Master</vt:lpstr>
      <vt:lpstr>Master SKU </vt:lpstr>
      <vt:lpstr>Pur_23-05</vt:lpstr>
      <vt:lpstr>Resource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Item Master</dc:title>
  <dc:creator>Unknown Creator</dc:creator>
  <cp:lastModifiedBy>ANSHU AGARWAL .</cp:lastModifiedBy>
  <dcterms:created xsi:type="dcterms:W3CDTF">2026-05-21T12:37:00Z</dcterms:created>
  <dcterms:modified xsi:type="dcterms:W3CDTF">2026-05-24T12:59:23Z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ICV">
    <vt:lpwstr>1B0A876E99B64EFA8D780AE4713D74B1_12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  <property fmtid="{D5CDD505-2E9C-101B-9397-08002B2CF9AE}" pid="5" name="MSIP_Label_a8c544ca-bb84-4280-906e-934547e1d30c_Enabled">
    <vt:lpwstr>True</vt:lpwstr>
  </property>
  <property fmtid="{D5CDD505-2E9C-101B-9397-08002B2CF9AE}" pid="6" name="MSIP_Label_a8c544ca-bb84-4280-906e-934547e1d30c_SiteId">
    <vt:lpwstr>258ac4e4-146a-411e-9dc8-79a9e12fd6da</vt:lpwstr>
  </property>
  <property fmtid="{D5CDD505-2E9C-101B-9397-08002B2CF9AE}" pid="7" name="MSIP_Label_a8c544ca-bb84-4280-906e-934547e1d30c_SetDate">
    <vt:lpwstr>2026-05-27T13:48:08Z</vt:lpwstr>
  </property>
  <property fmtid="{D5CDD505-2E9C-101B-9397-08002B2CF9AE}" pid="8" name="MSIP_Label_a8c544ca-bb84-4280-906e-934547e1d30c_Name">
    <vt:lpwstr>Internal - General Use</vt:lpwstr>
  </property>
  <property fmtid="{D5CDD505-2E9C-101B-9397-08002B2CF9AE}" pid="9" name="MSIP_Label_a8c544ca-bb84-4280-906e-934547e1d30c_ActionId">
    <vt:lpwstr>fd911385-c9d2-4a67-9e92-03dfdcc7933a</vt:lpwstr>
  </property>
  <property fmtid="{D5CDD505-2E9C-101B-9397-08002B2CF9AE}" pid="10" name="MSIP_Label_a8c544ca-bb84-4280-906e-934547e1d30c_Removed">
    <vt:lpwstr>False</vt:lpwstr>
  </property>
  <property fmtid="{D5CDD505-2E9C-101B-9397-08002B2CF9AE}" pid="11" name="MSIP_Label_a8c544ca-bb84-4280-906e-934547e1d30c_Extended_MSFT_Method">
    <vt:lpwstr>Standard</vt:lpwstr>
  </property>
  <property fmtid="{D5CDD505-2E9C-101B-9397-08002B2CF9AE}" pid="12" name="Sensitivity">
    <vt:lpwstr>Internal - General Use</vt:lpwstr>
  </property>
</Properties>
</file>