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y Business\"/>
    </mc:Choice>
  </mc:AlternateContent>
  <bookViews>
    <workbookView xWindow="0" yWindow="0" windowWidth="19200" windowHeight="6520" xr2:uid="{B2C4B813-8F27-489F-AFF8-210D670A115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G33" i="1"/>
  <c r="G32" i="1"/>
  <c r="G31" i="1"/>
  <c r="M31" i="1" s="1"/>
  <c r="M30" i="1"/>
  <c r="L30" i="1"/>
  <c r="G30" i="1"/>
  <c r="L29" i="1"/>
  <c r="G29" i="1"/>
  <c r="M29" i="1" s="1"/>
  <c r="M28" i="1"/>
  <c r="L28" i="1"/>
  <c r="G28" i="1"/>
  <c r="L27" i="1"/>
  <c r="G27" i="1"/>
  <c r="M27" i="1" s="1"/>
  <c r="L26" i="1"/>
  <c r="G26" i="1"/>
  <c r="M26" i="1" s="1"/>
  <c r="L25" i="1"/>
  <c r="G25" i="1"/>
  <c r="M25" i="1" s="1"/>
  <c r="L24" i="1"/>
  <c r="G24" i="1"/>
  <c r="M24" i="1" s="1"/>
  <c r="L23" i="1"/>
  <c r="G23" i="1"/>
  <c r="M23" i="1" s="1"/>
  <c r="M22" i="1"/>
  <c r="L22" i="1"/>
  <c r="G22" i="1"/>
  <c r="L21" i="1"/>
  <c r="G21" i="1"/>
  <c r="M21" i="1" s="1"/>
  <c r="M20" i="1"/>
  <c r="L20" i="1"/>
  <c r="G20" i="1"/>
  <c r="L19" i="1"/>
  <c r="G19" i="1"/>
  <c r="M19" i="1" s="1"/>
  <c r="L18" i="1"/>
  <c r="G18" i="1"/>
  <c r="M18" i="1" s="1"/>
  <c r="L17" i="1"/>
  <c r="G17" i="1"/>
  <c r="M17" i="1" s="1"/>
  <c r="L16" i="1"/>
  <c r="G16" i="1"/>
  <c r="M16" i="1" s="1"/>
  <c r="L15" i="1"/>
  <c r="G15" i="1"/>
  <c r="M15" i="1" s="1"/>
  <c r="M14" i="1"/>
  <c r="L14" i="1"/>
  <c r="G14" i="1"/>
  <c r="L13" i="1"/>
  <c r="G13" i="1"/>
  <c r="M13" i="1" s="1"/>
  <c r="M12" i="1"/>
  <c r="L12" i="1"/>
  <c r="G12" i="1"/>
  <c r="L11" i="1"/>
  <c r="G11" i="1"/>
  <c r="M11" i="1" s="1"/>
  <c r="L10" i="1"/>
  <c r="G10" i="1"/>
  <c r="M10" i="1" s="1"/>
  <c r="L9" i="1"/>
  <c r="G9" i="1"/>
  <c r="M9" i="1" s="1"/>
  <c r="L8" i="1"/>
  <c r="G8" i="1"/>
  <c r="M8" i="1" s="1"/>
  <c r="L7" i="1"/>
  <c r="G7" i="1"/>
  <c r="M7" i="1" s="1"/>
  <c r="M6" i="1"/>
  <c r="L6" i="1"/>
  <c r="G6" i="1"/>
  <c r="L5" i="1"/>
  <c r="G5" i="1"/>
  <c r="M5" i="1" s="1"/>
  <c r="M4" i="1"/>
  <c r="L4" i="1"/>
  <c r="G4" i="1"/>
  <c r="L3" i="1"/>
  <c r="G3" i="1"/>
  <c r="M3" i="1" s="1"/>
  <c r="L2" i="1"/>
  <c r="G2" i="1"/>
  <c r="M2" i="1" s="1"/>
</calcChain>
</file>

<file path=xl/sharedStrings.xml><?xml version="1.0" encoding="utf-8"?>
<sst xmlns="http://schemas.openxmlformats.org/spreadsheetml/2006/main" count="109" uniqueCount="70">
  <si>
    <t xml:space="preserve">Item </t>
  </si>
  <si>
    <t>Size(grms)</t>
  </si>
  <si>
    <t xml:space="preserve">Category </t>
  </si>
  <si>
    <t xml:space="preserve">SKU ID </t>
  </si>
  <si>
    <t>MRP</t>
  </si>
  <si>
    <t xml:space="preserve">Mama Price </t>
  </si>
  <si>
    <t xml:space="preserve">My selling price </t>
  </si>
  <si>
    <t xml:space="preserve">Price In amazon </t>
  </si>
  <si>
    <t xml:space="preserve">Price in Zepto </t>
  </si>
  <si>
    <t xml:space="preserve">Price in Big basket </t>
  </si>
  <si>
    <t xml:space="preserve">Price in instamart </t>
  </si>
  <si>
    <t xml:space="preserve">Avg online price </t>
  </si>
  <si>
    <t xml:space="preserve">My profit </t>
  </si>
  <si>
    <t xml:space="preserve">Quantity( in grams) </t>
  </si>
  <si>
    <t>Musturd seeds</t>
  </si>
  <si>
    <t>Spices</t>
  </si>
  <si>
    <t>SJJ-061</t>
  </si>
  <si>
    <t>MENTHYA SEEDS</t>
  </si>
  <si>
    <t>SJJ-057</t>
  </si>
  <si>
    <t>Jeera Whole</t>
  </si>
  <si>
    <t>SJJ-046</t>
  </si>
  <si>
    <t>SAUF</t>
  </si>
  <si>
    <t>SJJ-076</t>
  </si>
  <si>
    <t>YELLOW MUSTURD SEED</t>
  </si>
  <si>
    <t>SJJ-089</t>
  </si>
  <si>
    <t>Black pepper</t>
  </si>
  <si>
    <t>SJJ-015</t>
  </si>
  <si>
    <t>TILL NATURAL</t>
  </si>
  <si>
    <t>SJJ-084</t>
  </si>
  <si>
    <t xml:space="preserve">Nylon till </t>
  </si>
  <si>
    <t>SJJ-003</t>
  </si>
  <si>
    <t>BLACK TILL</t>
  </si>
  <si>
    <t>SJJ-019</t>
  </si>
  <si>
    <t>SJJ-064</t>
  </si>
  <si>
    <t>SJJ-058</t>
  </si>
  <si>
    <t>SJJ-050</t>
  </si>
  <si>
    <t>SJJ-079</t>
  </si>
  <si>
    <t>SJJ-091</t>
  </si>
  <si>
    <t>SJJ-017</t>
  </si>
  <si>
    <t>CLOVES</t>
  </si>
  <si>
    <t>SJJ-031</t>
  </si>
  <si>
    <t>CARDAMON</t>
  </si>
  <si>
    <t>SJJ-022</t>
  </si>
  <si>
    <t>POPPY SEEDS</t>
  </si>
  <si>
    <t xml:space="preserve">Super Food </t>
  </si>
  <si>
    <t>SJJ-069</t>
  </si>
  <si>
    <t>SABUDANA</t>
  </si>
  <si>
    <t>SJJ-074</t>
  </si>
  <si>
    <t>CASHEW</t>
  </si>
  <si>
    <t>Dry fruits</t>
  </si>
  <si>
    <t>SJJ-023</t>
  </si>
  <si>
    <t xml:space="preserve">ALMONDS </t>
  </si>
  <si>
    <t>SJJ-008</t>
  </si>
  <si>
    <t>KISHMISH</t>
  </si>
  <si>
    <t>SJJ-052</t>
  </si>
  <si>
    <t>Niger Seeds(Uchallu)</t>
  </si>
  <si>
    <t>SJJ-067</t>
  </si>
  <si>
    <t>SABJA SEEDS</t>
  </si>
  <si>
    <t>SJJ-070</t>
  </si>
  <si>
    <t xml:space="preserve">PUMPKIN SEEDS </t>
  </si>
  <si>
    <t>SJJ-005</t>
  </si>
  <si>
    <t>SUNFLOWER SEEDS</t>
  </si>
  <si>
    <t>SJJ-082</t>
  </si>
  <si>
    <t>SJJ-053</t>
  </si>
  <si>
    <t>FLAX SEEDS</t>
  </si>
  <si>
    <t>SJJ-044</t>
  </si>
  <si>
    <t>CHIA SEEDS</t>
  </si>
  <si>
    <t>SJJ-028</t>
  </si>
  <si>
    <t xml:space="preserve">Madhuban Fox Nut </t>
  </si>
  <si>
    <t xml:space="preserve">Craves Fox Nut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</si>
</sst>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DEEFF"/>
      </patternFill>
    </fill>
    <fill>
      <patternFill patternType="solid">
        <fgColor rgb="FFFCE4D6"/>
        <bgColor rgb="FFFFF2CC"/>
      </patternFill>
    </fill>
    <fill>
      <patternFill patternType="solid">
        <fgColor rgb="FFEDD9FE"/>
        <bgColor rgb="FFFCE4D6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ems-21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 Master"/>
      <sheetName val="Master SKU "/>
      <sheetName val="Pur_23-05"/>
      <sheetName val="Resour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D795-DBED-44CB-B4E2-43EF837CC20D}">
  <dimension ref="A1:N34"/>
  <sheetViews>
    <sheetView tabSelected="1" topLeftCell="A18" workbookViewId="0">
      <selection activeCell="G22" sqref="G22"/>
    </sheetView>
  </sheetViews>
  <sheetFormatPr defaultRowHeight="14.5" x14ac:dyDescent="0.35"/>
  <cols>
    <col min="1" max="1" width="18.81640625" customWidth="1"/>
    <col min="14" max="14" width="19.08984375" customWidth="1"/>
  </cols>
  <sheetData>
    <row r="1" spans="1:14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>
        <v>100</v>
      </c>
      <c r="C2" s="2" t="s">
        <v>15</v>
      </c>
      <c r="D2" s="2" t="s">
        <v>16</v>
      </c>
      <c r="E2" s="2"/>
      <c r="F2" s="2">
        <v>13</v>
      </c>
      <c r="G2" s="3">
        <f t="shared" ref="G2:G5" si="0">ROUND(F2*(1+0.35),0)</f>
        <v>18</v>
      </c>
      <c r="H2" s="4">
        <v>20</v>
      </c>
      <c r="I2" s="4">
        <v>18</v>
      </c>
      <c r="J2" s="4">
        <v>18</v>
      </c>
      <c r="K2" s="4">
        <v>18</v>
      </c>
      <c r="L2" s="5">
        <f t="shared" ref="L2:L30" si="1">ROUND(AVERAGE(H2:K2),0)</f>
        <v>19</v>
      </c>
      <c r="M2" s="6">
        <f t="shared" ref="M2:M31" si="2">ROUND(G2-F2,0)</f>
        <v>5</v>
      </c>
      <c r="N2" s="6">
        <v>2000</v>
      </c>
    </row>
    <row r="3" spans="1:14" x14ac:dyDescent="0.35">
      <c r="A3" s="2" t="s">
        <v>17</v>
      </c>
      <c r="B3" s="2">
        <v>100</v>
      </c>
      <c r="C3" s="2" t="s">
        <v>15</v>
      </c>
      <c r="D3" s="2" t="s">
        <v>18</v>
      </c>
      <c r="E3" s="2"/>
      <c r="F3" s="2">
        <v>14</v>
      </c>
      <c r="G3" s="3">
        <f t="shared" si="0"/>
        <v>19</v>
      </c>
      <c r="H3" s="4">
        <v>25</v>
      </c>
      <c r="I3" s="4">
        <v>23</v>
      </c>
      <c r="J3" s="4">
        <v>22</v>
      </c>
      <c r="K3" s="4">
        <v>23</v>
      </c>
      <c r="L3" s="5">
        <f t="shared" si="1"/>
        <v>23</v>
      </c>
      <c r="M3" s="6">
        <f t="shared" si="2"/>
        <v>5</v>
      </c>
      <c r="N3" s="6">
        <v>2000</v>
      </c>
    </row>
    <row r="4" spans="1:14" x14ac:dyDescent="0.35">
      <c r="A4" s="2" t="s">
        <v>19</v>
      </c>
      <c r="B4" s="2">
        <v>100</v>
      </c>
      <c r="C4" s="2" t="s">
        <v>15</v>
      </c>
      <c r="D4" s="2" t="s">
        <v>20</v>
      </c>
      <c r="E4" s="2"/>
      <c r="F4" s="2">
        <v>34</v>
      </c>
      <c r="G4" s="3">
        <f t="shared" si="0"/>
        <v>46</v>
      </c>
      <c r="H4" s="4">
        <v>42</v>
      </c>
      <c r="I4" s="4">
        <v>40</v>
      </c>
      <c r="J4" s="4">
        <v>38</v>
      </c>
      <c r="K4" s="4">
        <v>39</v>
      </c>
      <c r="L4" s="5">
        <f t="shared" si="1"/>
        <v>40</v>
      </c>
      <c r="M4" s="6">
        <f t="shared" si="2"/>
        <v>12</v>
      </c>
      <c r="N4" s="6">
        <v>2000</v>
      </c>
    </row>
    <row r="5" spans="1:14" x14ac:dyDescent="0.35">
      <c r="A5" s="2" t="s">
        <v>21</v>
      </c>
      <c r="B5" s="2">
        <v>100</v>
      </c>
      <c r="C5" s="2" t="s">
        <v>15</v>
      </c>
      <c r="D5" s="2" t="s">
        <v>22</v>
      </c>
      <c r="E5" s="2"/>
      <c r="F5" s="2">
        <v>20</v>
      </c>
      <c r="G5" s="3">
        <f t="shared" si="0"/>
        <v>27</v>
      </c>
      <c r="H5" s="4">
        <v>30</v>
      </c>
      <c r="I5" s="4">
        <v>29</v>
      </c>
      <c r="J5" s="4">
        <v>28</v>
      </c>
      <c r="K5" s="4">
        <v>29</v>
      </c>
      <c r="L5" s="5">
        <f t="shared" si="1"/>
        <v>29</v>
      </c>
      <c r="M5" s="6">
        <f t="shared" si="2"/>
        <v>7</v>
      </c>
      <c r="N5" s="6">
        <v>2000</v>
      </c>
    </row>
    <row r="6" spans="1:14" x14ac:dyDescent="0.35">
      <c r="A6" s="2" t="s">
        <v>23</v>
      </c>
      <c r="B6" s="2">
        <v>100</v>
      </c>
      <c r="C6" s="2" t="s">
        <v>15</v>
      </c>
      <c r="D6" s="2" t="s">
        <v>24</v>
      </c>
      <c r="E6" s="2"/>
      <c r="F6" s="2">
        <v>18</v>
      </c>
      <c r="G6" s="3">
        <f>ROUND(F6*(1+0.35),0)</f>
        <v>24</v>
      </c>
      <c r="H6" s="4">
        <v>22</v>
      </c>
      <c r="I6" s="4">
        <v>21</v>
      </c>
      <c r="J6" s="4">
        <v>20</v>
      </c>
      <c r="K6" s="4">
        <v>20</v>
      </c>
      <c r="L6" s="5">
        <f t="shared" si="1"/>
        <v>21</v>
      </c>
      <c r="M6" s="6">
        <f t="shared" si="2"/>
        <v>6</v>
      </c>
      <c r="N6" s="6">
        <v>1000</v>
      </c>
    </row>
    <row r="7" spans="1:14" x14ac:dyDescent="0.35">
      <c r="A7" s="2" t="s">
        <v>25</v>
      </c>
      <c r="B7" s="2">
        <v>100</v>
      </c>
      <c r="C7" s="2" t="s">
        <v>15</v>
      </c>
      <c r="D7" s="2" t="s">
        <v>26</v>
      </c>
      <c r="E7" s="2">
        <v>150</v>
      </c>
      <c r="F7" s="2">
        <v>92</v>
      </c>
      <c r="G7" s="3">
        <f t="shared" ref="G7" si="3">ROUND(F7*(1+0.35),0)</f>
        <v>124</v>
      </c>
      <c r="H7" s="4">
        <v>130</v>
      </c>
      <c r="I7" s="4">
        <v>125</v>
      </c>
      <c r="J7" s="4">
        <v>120</v>
      </c>
      <c r="K7" s="4">
        <v>122</v>
      </c>
      <c r="L7" s="5">
        <f t="shared" si="1"/>
        <v>124</v>
      </c>
      <c r="M7" s="6">
        <f t="shared" si="2"/>
        <v>32</v>
      </c>
      <c r="N7" s="6">
        <v>1000</v>
      </c>
    </row>
    <row r="8" spans="1:14" x14ac:dyDescent="0.35">
      <c r="A8" s="2" t="s">
        <v>27</v>
      </c>
      <c r="B8" s="2">
        <v>100</v>
      </c>
      <c r="C8" s="2" t="s">
        <v>15</v>
      </c>
      <c r="D8" s="2" t="s">
        <v>28</v>
      </c>
      <c r="E8" s="2"/>
      <c r="F8" s="2">
        <v>20</v>
      </c>
      <c r="G8" s="3">
        <f>ROUND(F8*(1+0.35),0)</f>
        <v>27</v>
      </c>
      <c r="H8" s="4">
        <v>30</v>
      </c>
      <c r="I8" s="4">
        <v>29</v>
      </c>
      <c r="J8" s="4">
        <v>28</v>
      </c>
      <c r="K8" s="4">
        <v>29</v>
      </c>
      <c r="L8" s="5">
        <f t="shared" si="1"/>
        <v>29</v>
      </c>
      <c r="M8" s="6">
        <f t="shared" si="2"/>
        <v>7</v>
      </c>
      <c r="N8" s="6">
        <v>1000</v>
      </c>
    </row>
    <row r="9" spans="1:14" x14ac:dyDescent="0.35">
      <c r="A9" s="2" t="s">
        <v>29</v>
      </c>
      <c r="B9" s="2">
        <v>100</v>
      </c>
      <c r="C9" s="2" t="s">
        <v>15</v>
      </c>
      <c r="D9" s="2" t="s">
        <v>30</v>
      </c>
      <c r="E9" s="2">
        <v>35</v>
      </c>
      <c r="F9" s="2">
        <v>18</v>
      </c>
      <c r="G9" s="3">
        <f>ROUND(F9*(1+0.35),0)</f>
        <v>24</v>
      </c>
      <c r="H9" s="4">
        <v>32</v>
      </c>
      <c r="I9" s="4">
        <v>30</v>
      </c>
      <c r="J9" s="4">
        <v>30</v>
      </c>
      <c r="K9" s="4">
        <v>31</v>
      </c>
      <c r="L9" s="5">
        <f t="shared" si="1"/>
        <v>31</v>
      </c>
      <c r="M9" s="6">
        <f t="shared" si="2"/>
        <v>6</v>
      </c>
      <c r="N9" s="6">
        <v>1000</v>
      </c>
    </row>
    <row r="10" spans="1:14" x14ac:dyDescent="0.35">
      <c r="A10" s="2" t="s">
        <v>31</v>
      </c>
      <c r="B10" s="2">
        <v>100</v>
      </c>
      <c r="C10" s="2" t="s">
        <v>15</v>
      </c>
      <c r="D10" s="2" t="s">
        <v>32</v>
      </c>
      <c r="E10" s="2">
        <v>35</v>
      </c>
      <c r="F10" s="2">
        <v>17</v>
      </c>
      <c r="G10" s="3">
        <f t="shared" ref="G10:G14" si="4">ROUND(F10*(1+0.35),0)</f>
        <v>23</v>
      </c>
      <c r="H10" s="4">
        <v>32</v>
      </c>
      <c r="I10" s="4">
        <v>30</v>
      </c>
      <c r="J10" s="4">
        <v>30</v>
      </c>
      <c r="K10" s="4">
        <v>31</v>
      </c>
      <c r="L10" s="5">
        <f t="shared" si="1"/>
        <v>31</v>
      </c>
      <c r="M10" s="6">
        <f t="shared" si="2"/>
        <v>6</v>
      </c>
      <c r="N10" s="6">
        <v>1000</v>
      </c>
    </row>
    <row r="11" spans="1:14" x14ac:dyDescent="0.35">
      <c r="A11" s="2" t="s">
        <v>14</v>
      </c>
      <c r="B11" s="2">
        <v>50</v>
      </c>
      <c r="C11" s="2" t="s">
        <v>15</v>
      </c>
      <c r="D11" s="2" t="s">
        <v>33</v>
      </c>
      <c r="E11" s="2"/>
      <c r="F11" s="2">
        <v>6.5</v>
      </c>
      <c r="G11" s="3">
        <f t="shared" si="4"/>
        <v>9</v>
      </c>
      <c r="H11" s="4">
        <v>12</v>
      </c>
      <c r="I11" s="4">
        <v>10</v>
      </c>
      <c r="J11" s="4">
        <v>10</v>
      </c>
      <c r="K11" s="4">
        <v>11</v>
      </c>
      <c r="L11" s="5">
        <f t="shared" si="1"/>
        <v>11</v>
      </c>
      <c r="M11" s="6">
        <f t="shared" si="2"/>
        <v>3</v>
      </c>
      <c r="N11" s="6">
        <v>1000</v>
      </c>
    </row>
    <row r="12" spans="1:14" x14ac:dyDescent="0.35">
      <c r="A12" s="2" t="s">
        <v>17</v>
      </c>
      <c r="B12" s="2">
        <v>50</v>
      </c>
      <c r="C12" s="2" t="s">
        <v>15</v>
      </c>
      <c r="D12" s="2" t="s">
        <v>34</v>
      </c>
      <c r="E12" s="2"/>
      <c r="F12" s="2">
        <v>7</v>
      </c>
      <c r="G12" s="3">
        <f t="shared" si="4"/>
        <v>9</v>
      </c>
      <c r="H12" s="4">
        <v>14</v>
      </c>
      <c r="I12" s="4">
        <v>12</v>
      </c>
      <c r="J12" s="4">
        <v>12</v>
      </c>
      <c r="K12" s="4">
        <v>13</v>
      </c>
      <c r="L12" s="5">
        <f t="shared" si="1"/>
        <v>13</v>
      </c>
      <c r="M12" s="6">
        <f t="shared" si="2"/>
        <v>2</v>
      </c>
      <c r="N12" s="6">
        <v>1000</v>
      </c>
    </row>
    <row r="13" spans="1:14" x14ac:dyDescent="0.35">
      <c r="A13" s="2" t="s">
        <v>19</v>
      </c>
      <c r="B13" s="2">
        <v>50</v>
      </c>
      <c r="C13" s="2" t="s">
        <v>15</v>
      </c>
      <c r="D13" s="2" t="s">
        <v>35</v>
      </c>
      <c r="E13" s="2"/>
      <c r="F13" s="2">
        <v>17</v>
      </c>
      <c r="G13" s="3">
        <f t="shared" si="4"/>
        <v>23</v>
      </c>
      <c r="H13" s="4">
        <v>23</v>
      </c>
      <c r="I13" s="4">
        <v>21</v>
      </c>
      <c r="J13" s="4">
        <v>20</v>
      </c>
      <c r="K13" s="4">
        <v>21</v>
      </c>
      <c r="L13" s="5">
        <f t="shared" si="1"/>
        <v>21</v>
      </c>
      <c r="M13" s="6">
        <f t="shared" si="2"/>
        <v>6</v>
      </c>
      <c r="N13" s="6">
        <v>1000</v>
      </c>
    </row>
    <row r="14" spans="1:14" x14ac:dyDescent="0.35">
      <c r="A14" s="2" t="s">
        <v>21</v>
      </c>
      <c r="B14" s="2">
        <v>50</v>
      </c>
      <c r="C14" s="2" t="s">
        <v>15</v>
      </c>
      <c r="D14" s="2" t="s">
        <v>36</v>
      </c>
      <c r="E14" s="2"/>
      <c r="F14" s="2">
        <v>10</v>
      </c>
      <c r="G14" s="3">
        <f t="shared" si="4"/>
        <v>14</v>
      </c>
      <c r="H14" s="4">
        <v>17</v>
      </c>
      <c r="I14" s="4">
        <v>16</v>
      </c>
      <c r="J14" s="4">
        <v>15</v>
      </c>
      <c r="K14" s="4">
        <v>16</v>
      </c>
      <c r="L14" s="5">
        <f t="shared" si="1"/>
        <v>16</v>
      </c>
      <c r="M14" s="6">
        <f t="shared" si="2"/>
        <v>4</v>
      </c>
      <c r="N14" s="6">
        <v>1000</v>
      </c>
    </row>
    <row r="15" spans="1:14" x14ac:dyDescent="0.35">
      <c r="A15" s="2" t="s">
        <v>23</v>
      </c>
      <c r="B15" s="2">
        <v>50</v>
      </c>
      <c r="C15" s="2" t="s">
        <v>15</v>
      </c>
      <c r="D15" s="2" t="s">
        <v>37</v>
      </c>
      <c r="E15" s="2"/>
      <c r="F15" s="2">
        <v>9</v>
      </c>
      <c r="G15" s="3">
        <f>ROUND(F15*(1+0.35),0)</f>
        <v>12</v>
      </c>
      <c r="H15" s="4">
        <v>13</v>
      </c>
      <c r="I15" s="4">
        <v>12</v>
      </c>
      <c r="J15" s="4">
        <v>11</v>
      </c>
      <c r="K15" s="4">
        <v>11</v>
      </c>
      <c r="L15" s="5">
        <f t="shared" si="1"/>
        <v>12</v>
      </c>
      <c r="M15" s="6">
        <f t="shared" si="2"/>
        <v>3</v>
      </c>
      <c r="N15" s="6">
        <v>1000</v>
      </c>
    </row>
    <row r="16" spans="1:14" x14ac:dyDescent="0.35">
      <c r="A16" s="2" t="s">
        <v>25</v>
      </c>
      <c r="B16" s="2">
        <v>50</v>
      </c>
      <c r="C16" s="2" t="s">
        <v>15</v>
      </c>
      <c r="D16" s="2" t="s">
        <v>38</v>
      </c>
      <c r="E16" s="2">
        <v>75</v>
      </c>
      <c r="F16" s="2">
        <v>46</v>
      </c>
      <c r="G16" s="3">
        <f t="shared" ref="G16" si="5">ROUND(F16*(1+0.35),0)</f>
        <v>62</v>
      </c>
      <c r="H16" s="4">
        <v>70</v>
      </c>
      <c r="I16" s="4">
        <v>68</v>
      </c>
      <c r="J16" s="4">
        <v>65</v>
      </c>
      <c r="K16" s="4">
        <v>66</v>
      </c>
      <c r="L16" s="5">
        <f t="shared" si="1"/>
        <v>67</v>
      </c>
      <c r="M16" s="6">
        <f t="shared" si="2"/>
        <v>16</v>
      </c>
      <c r="N16" s="6">
        <v>1000</v>
      </c>
    </row>
    <row r="17" spans="1:14" x14ac:dyDescent="0.35">
      <c r="A17" s="2" t="s">
        <v>39</v>
      </c>
      <c r="B17" s="2">
        <v>50</v>
      </c>
      <c r="C17" s="2" t="s">
        <v>15</v>
      </c>
      <c r="D17" s="2" t="s">
        <v>40</v>
      </c>
      <c r="E17" s="2">
        <v>80</v>
      </c>
      <c r="F17" s="2">
        <v>50</v>
      </c>
      <c r="G17" s="3">
        <f>ROUND(F17*(1+0.35),0)</f>
        <v>68</v>
      </c>
      <c r="H17" s="4">
        <v>100</v>
      </c>
      <c r="I17" s="4">
        <v>96</v>
      </c>
      <c r="J17" s="4">
        <v>92</v>
      </c>
      <c r="K17" s="4">
        <v>94</v>
      </c>
      <c r="L17" s="5">
        <f t="shared" si="1"/>
        <v>96</v>
      </c>
      <c r="M17" s="6">
        <f t="shared" si="2"/>
        <v>18</v>
      </c>
      <c r="N17" s="6">
        <v>500</v>
      </c>
    </row>
    <row r="18" spans="1:14" x14ac:dyDescent="0.35">
      <c r="A18" s="2" t="s">
        <v>41</v>
      </c>
      <c r="B18" s="2">
        <v>50</v>
      </c>
      <c r="C18" s="2" t="s">
        <v>15</v>
      </c>
      <c r="D18" s="2" t="s">
        <v>42</v>
      </c>
      <c r="E18" s="2">
        <v>225</v>
      </c>
      <c r="F18" s="2">
        <v>165</v>
      </c>
      <c r="G18" s="3">
        <f t="shared" ref="G18" si="6">ROUND(F18*(1+0.35),0)</f>
        <v>223</v>
      </c>
      <c r="H18" s="4">
        <v>1025</v>
      </c>
      <c r="I18" s="4">
        <v>980</v>
      </c>
      <c r="J18" s="4">
        <v>950</v>
      </c>
      <c r="K18" s="4">
        <v>965</v>
      </c>
      <c r="L18" s="5">
        <f t="shared" si="1"/>
        <v>980</v>
      </c>
      <c r="M18" s="6">
        <f t="shared" si="2"/>
        <v>58</v>
      </c>
      <c r="N18" s="6">
        <v>500</v>
      </c>
    </row>
    <row r="19" spans="1:14" x14ac:dyDescent="0.35">
      <c r="A19" s="2" t="s">
        <v>43</v>
      </c>
      <c r="B19" s="2">
        <v>50</v>
      </c>
      <c r="C19" s="2" t="s">
        <v>44</v>
      </c>
      <c r="D19" s="2" t="s">
        <v>45</v>
      </c>
      <c r="E19" s="2"/>
      <c r="F19" s="2">
        <v>70</v>
      </c>
      <c r="G19" s="7">
        <f t="shared" ref="G19:G20" si="7">ROUND(F19*(1+0.4),0)</f>
        <v>98</v>
      </c>
      <c r="H19" s="4">
        <v>82</v>
      </c>
      <c r="I19" s="4">
        <v>78</v>
      </c>
      <c r="J19" s="4">
        <v>75</v>
      </c>
      <c r="K19" s="4">
        <v>77</v>
      </c>
      <c r="L19" s="5">
        <f t="shared" si="1"/>
        <v>78</v>
      </c>
      <c r="M19" s="6">
        <f t="shared" si="2"/>
        <v>28</v>
      </c>
      <c r="N19" s="6">
        <v>500</v>
      </c>
    </row>
    <row r="20" spans="1:14" x14ac:dyDescent="0.35">
      <c r="A20" s="2" t="s">
        <v>46</v>
      </c>
      <c r="B20" s="2">
        <v>500</v>
      </c>
      <c r="C20" s="2" t="s">
        <v>44</v>
      </c>
      <c r="D20" s="2" t="s">
        <v>47</v>
      </c>
      <c r="E20" s="2"/>
      <c r="F20" s="2">
        <v>44</v>
      </c>
      <c r="G20" s="7">
        <f t="shared" si="7"/>
        <v>62</v>
      </c>
      <c r="H20" s="4">
        <v>78</v>
      </c>
      <c r="I20" s="4">
        <v>75</v>
      </c>
      <c r="J20" s="4">
        <v>72</v>
      </c>
      <c r="K20" s="4">
        <v>74</v>
      </c>
      <c r="L20" s="5">
        <f t="shared" si="1"/>
        <v>75</v>
      </c>
      <c r="M20" s="6">
        <f t="shared" si="2"/>
        <v>18</v>
      </c>
      <c r="N20" s="6">
        <v>3000</v>
      </c>
    </row>
    <row r="21" spans="1:14" x14ac:dyDescent="0.35">
      <c r="A21" s="2" t="s">
        <v>48</v>
      </c>
      <c r="B21" s="2">
        <v>100</v>
      </c>
      <c r="C21" s="2" t="s">
        <v>49</v>
      </c>
      <c r="D21" s="2" t="s">
        <v>50</v>
      </c>
      <c r="E21" s="2">
        <v>160</v>
      </c>
      <c r="F21" s="2">
        <v>100</v>
      </c>
      <c r="G21" s="7">
        <f>ROUND(F21*(1+0.5),0)</f>
        <v>150</v>
      </c>
      <c r="H21" s="4">
        <v>140</v>
      </c>
      <c r="I21" s="4">
        <v>136</v>
      </c>
      <c r="J21" s="4">
        <v>130</v>
      </c>
      <c r="K21" s="4">
        <v>132</v>
      </c>
      <c r="L21" s="5">
        <f t="shared" si="1"/>
        <v>135</v>
      </c>
      <c r="M21" s="6">
        <f t="shared" si="2"/>
        <v>50</v>
      </c>
      <c r="N21" s="6">
        <v>1000</v>
      </c>
    </row>
    <row r="22" spans="1:14" x14ac:dyDescent="0.35">
      <c r="A22" s="2" t="s">
        <v>51</v>
      </c>
      <c r="B22" s="2">
        <v>100</v>
      </c>
      <c r="C22" s="2" t="s">
        <v>49</v>
      </c>
      <c r="D22" s="2" t="s">
        <v>52</v>
      </c>
      <c r="E22" s="2">
        <v>160</v>
      </c>
      <c r="F22" s="2">
        <v>102</v>
      </c>
      <c r="G22" s="7">
        <f>ROUND(F22*(1+0.5),0)</f>
        <v>153</v>
      </c>
      <c r="H22" s="4">
        <v>108</v>
      </c>
      <c r="I22" s="4">
        <v>105</v>
      </c>
      <c r="J22" s="4">
        <v>100</v>
      </c>
      <c r="K22" s="4">
        <v>102</v>
      </c>
      <c r="L22" s="5">
        <f t="shared" si="1"/>
        <v>104</v>
      </c>
      <c r="M22" s="6">
        <f t="shared" si="2"/>
        <v>51</v>
      </c>
      <c r="N22" s="6">
        <v>1000</v>
      </c>
    </row>
    <row r="23" spans="1:14" x14ac:dyDescent="0.35">
      <c r="A23" s="2" t="s">
        <v>53</v>
      </c>
      <c r="B23" s="2">
        <v>100</v>
      </c>
      <c r="C23" s="2" t="s">
        <v>49</v>
      </c>
      <c r="D23" s="2" t="s">
        <v>54</v>
      </c>
      <c r="E23" s="2"/>
      <c r="F23" s="2">
        <v>50</v>
      </c>
      <c r="G23" s="7">
        <f>ROUND(F23*(1+0.5),0)</f>
        <v>75</v>
      </c>
      <c r="H23" s="4">
        <v>72</v>
      </c>
      <c r="I23" s="4">
        <v>68</v>
      </c>
      <c r="J23" s="4">
        <v>65</v>
      </c>
      <c r="K23" s="4">
        <v>67</v>
      </c>
      <c r="L23" s="5">
        <f t="shared" si="1"/>
        <v>68</v>
      </c>
      <c r="M23" s="6">
        <f t="shared" si="2"/>
        <v>25</v>
      </c>
      <c r="N23" s="6">
        <v>1000</v>
      </c>
    </row>
    <row r="24" spans="1:14" x14ac:dyDescent="0.35">
      <c r="A24" s="2" t="s">
        <v>55</v>
      </c>
      <c r="B24" s="2">
        <v>100</v>
      </c>
      <c r="C24" s="2" t="s">
        <v>44</v>
      </c>
      <c r="D24" s="2" t="s">
        <v>56</v>
      </c>
      <c r="E24" s="2"/>
      <c r="F24" s="2">
        <v>22</v>
      </c>
      <c r="G24" s="7">
        <f>ROUND(F24*(1+0.4),0)</f>
        <v>31</v>
      </c>
      <c r="H24" s="4">
        <v>32</v>
      </c>
      <c r="I24" s="4">
        <v>30</v>
      </c>
      <c r="J24" s="4">
        <v>28</v>
      </c>
      <c r="K24" s="4">
        <v>29</v>
      </c>
      <c r="L24" s="5">
        <f t="shared" si="1"/>
        <v>30</v>
      </c>
      <c r="M24" s="6">
        <f t="shared" si="2"/>
        <v>9</v>
      </c>
      <c r="N24" s="6">
        <v>500</v>
      </c>
    </row>
    <row r="25" spans="1:14" x14ac:dyDescent="0.35">
      <c r="A25" s="2" t="s">
        <v>57</v>
      </c>
      <c r="B25" s="2">
        <v>100</v>
      </c>
      <c r="C25" s="2" t="s">
        <v>44</v>
      </c>
      <c r="D25" s="2" t="s">
        <v>58</v>
      </c>
      <c r="E25" s="2"/>
      <c r="F25" s="2">
        <v>34</v>
      </c>
      <c r="G25" s="7">
        <f t="shared" ref="G25" si="8">ROUND(F25*(1+0.4),0)</f>
        <v>48</v>
      </c>
      <c r="H25" s="4">
        <v>48</v>
      </c>
      <c r="I25" s="4">
        <v>44</v>
      </c>
      <c r="J25" s="4">
        <v>42</v>
      </c>
      <c r="K25" s="4">
        <v>43</v>
      </c>
      <c r="L25" s="5">
        <f t="shared" si="1"/>
        <v>44</v>
      </c>
      <c r="M25" s="6">
        <f t="shared" si="2"/>
        <v>14</v>
      </c>
      <c r="N25" s="6">
        <v>500</v>
      </c>
    </row>
    <row r="26" spans="1:14" x14ac:dyDescent="0.35">
      <c r="A26" s="2" t="s">
        <v>59</v>
      </c>
      <c r="B26" s="2">
        <v>100</v>
      </c>
      <c r="C26" s="2" t="s">
        <v>44</v>
      </c>
      <c r="D26" s="2" t="s">
        <v>60</v>
      </c>
      <c r="E26" s="2">
        <v>100</v>
      </c>
      <c r="F26" s="2">
        <v>55</v>
      </c>
      <c r="G26" s="7">
        <f>ROUND(F26*(1+0.4),0)</f>
        <v>77</v>
      </c>
      <c r="H26" s="4">
        <v>95</v>
      </c>
      <c r="I26" s="4">
        <v>88</v>
      </c>
      <c r="J26" s="4">
        <v>90</v>
      </c>
      <c r="K26" s="4">
        <v>92</v>
      </c>
      <c r="L26" s="5">
        <f t="shared" si="1"/>
        <v>91</v>
      </c>
      <c r="M26" s="6">
        <f t="shared" si="2"/>
        <v>22</v>
      </c>
      <c r="N26" s="6">
        <v>500</v>
      </c>
    </row>
    <row r="27" spans="1:14" x14ac:dyDescent="0.35">
      <c r="A27" s="2" t="s">
        <v>61</v>
      </c>
      <c r="B27" s="2">
        <v>100</v>
      </c>
      <c r="C27" s="2" t="s">
        <v>44</v>
      </c>
      <c r="D27" s="2" t="s">
        <v>62</v>
      </c>
      <c r="E27" s="2"/>
      <c r="F27" s="2">
        <v>30</v>
      </c>
      <c r="G27" s="7">
        <f>ROUND(F27*(1+0.4),0)</f>
        <v>42</v>
      </c>
      <c r="H27" s="4">
        <v>38</v>
      </c>
      <c r="I27" s="4">
        <v>36</v>
      </c>
      <c r="J27" s="4">
        <v>35</v>
      </c>
      <c r="K27" s="4">
        <v>36</v>
      </c>
      <c r="L27" s="5">
        <f t="shared" si="1"/>
        <v>36</v>
      </c>
      <c r="M27" s="6">
        <f t="shared" si="2"/>
        <v>12</v>
      </c>
      <c r="N27" s="6">
        <v>200</v>
      </c>
    </row>
    <row r="28" spans="1:14" x14ac:dyDescent="0.35">
      <c r="A28" s="2" t="s">
        <v>53</v>
      </c>
      <c r="B28" s="2">
        <v>1000</v>
      </c>
      <c r="C28" s="2" t="s">
        <v>49</v>
      </c>
      <c r="D28" s="2" t="s">
        <v>63</v>
      </c>
      <c r="E28" s="2"/>
      <c r="F28" s="2">
        <v>450</v>
      </c>
      <c r="G28" s="7">
        <f>ROUND(F28*(1+0.5),0)</f>
        <v>675</v>
      </c>
      <c r="H28" s="4">
        <v>628</v>
      </c>
      <c r="I28" s="4">
        <v>610</v>
      </c>
      <c r="J28" s="4">
        <v>580</v>
      </c>
      <c r="K28" s="4">
        <v>598</v>
      </c>
      <c r="L28" s="5">
        <f t="shared" si="1"/>
        <v>604</v>
      </c>
      <c r="M28" s="6">
        <f t="shared" si="2"/>
        <v>225</v>
      </c>
      <c r="N28" s="6">
        <v>1</v>
      </c>
    </row>
    <row r="29" spans="1:14" x14ac:dyDescent="0.35">
      <c r="A29" s="2" t="s">
        <v>64</v>
      </c>
      <c r="B29" s="2">
        <v>100</v>
      </c>
      <c r="C29" s="2" t="s">
        <v>44</v>
      </c>
      <c r="D29" s="2" t="s">
        <v>65</v>
      </c>
      <c r="E29" s="2"/>
      <c r="F29" s="2">
        <v>25</v>
      </c>
      <c r="G29" s="7">
        <f>ROUND(F29*(1+0.4),0)</f>
        <v>35</v>
      </c>
      <c r="H29" s="4">
        <v>28</v>
      </c>
      <c r="I29" s="4">
        <v>26</v>
      </c>
      <c r="J29" s="4">
        <v>25</v>
      </c>
      <c r="K29" s="4">
        <v>26</v>
      </c>
      <c r="L29" s="5">
        <f t="shared" si="1"/>
        <v>26</v>
      </c>
      <c r="M29" s="6">
        <f t="shared" si="2"/>
        <v>10</v>
      </c>
      <c r="N29" s="6">
        <v>500</v>
      </c>
    </row>
    <row r="30" spans="1:14" x14ac:dyDescent="0.35">
      <c r="A30" s="2" t="s">
        <v>66</v>
      </c>
      <c r="B30" s="2">
        <v>100</v>
      </c>
      <c r="C30" s="2" t="s">
        <v>44</v>
      </c>
      <c r="D30" s="2" t="s">
        <v>67</v>
      </c>
      <c r="E30" s="2">
        <v>70</v>
      </c>
      <c r="F30" s="2">
        <v>40</v>
      </c>
      <c r="G30" s="7">
        <f>ROUND(F30*(1+0.4),0)</f>
        <v>56</v>
      </c>
      <c r="H30" s="4">
        <v>60</v>
      </c>
      <c r="I30" s="4">
        <v>58</v>
      </c>
      <c r="J30" s="4">
        <v>55</v>
      </c>
      <c r="K30" s="4">
        <v>56</v>
      </c>
      <c r="L30" s="5">
        <f t="shared" si="1"/>
        <v>57</v>
      </c>
      <c r="M30" s="6">
        <f t="shared" si="2"/>
        <v>16</v>
      </c>
      <c r="N30" s="6">
        <v>500</v>
      </c>
    </row>
    <row r="31" spans="1:14" x14ac:dyDescent="0.35">
      <c r="A31" s="2" t="s">
        <v>68</v>
      </c>
      <c r="B31" s="2">
        <v>250</v>
      </c>
      <c r="C31" s="2" t="s">
        <v>44</v>
      </c>
      <c r="D31" s="2"/>
      <c r="E31" s="2"/>
      <c r="F31" s="2">
        <v>250</v>
      </c>
      <c r="G31" s="7">
        <f>ROUND(F31*(1+0.4),0)</f>
        <v>350</v>
      </c>
      <c r="H31" s="4"/>
      <c r="I31" s="4"/>
      <c r="J31" s="4"/>
      <c r="K31" s="4"/>
      <c r="L31" s="5"/>
      <c r="M31" s="6">
        <f t="shared" si="2"/>
        <v>100</v>
      </c>
      <c r="N31" s="6">
        <v>1250</v>
      </c>
    </row>
    <row r="32" spans="1:14" x14ac:dyDescent="0.35">
      <c r="A32" s="2" t="s">
        <v>68</v>
      </c>
      <c r="B32" s="2">
        <v>100</v>
      </c>
      <c r="C32" s="2" t="s">
        <v>44</v>
      </c>
      <c r="D32" s="2"/>
      <c r="E32" s="2"/>
      <c r="F32" s="2">
        <v>115</v>
      </c>
      <c r="G32" s="7">
        <f t="shared" ref="G32:G34" si="9">ROUND(F32*(1+0.4),0)</f>
        <v>161</v>
      </c>
      <c r="H32" s="4"/>
      <c r="I32" s="4"/>
      <c r="J32" s="4"/>
      <c r="K32" s="4"/>
      <c r="L32" s="5"/>
      <c r="M32" s="6"/>
      <c r="N32" s="6">
        <v>200</v>
      </c>
    </row>
    <row r="33" spans="1:14" x14ac:dyDescent="0.35">
      <c r="A33" s="2" t="s">
        <v>69</v>
      </c>
      <c r="B33" s="2">
        <v>100</v>
      </c>
      <c r="C33" s="2" t="s">
        <v>44</v>
      </c>
      <c r="D33" s="2"/>
      <c r="E33" s="2"/>
      <c r="F33" s="2">
        <v>135</v>
      </c>
      <c r="G33" s="7">
        <f t="shared" si="9"/>
        <v>189</v>
      </c>
      <c r="H33" s="4"/>
      <c r="I33" s="4"/>
      <c r="J33" s="4"/>
      <c r="K33" s="4"/>
      <c r="L33" s="5"/>
      <c r="M33" s="6"/>
      <c r="N33" s="6">
        <v>200</v>
      </c>
    </row>
    <row r="34" spans="1:14" x14ac:dyDescent="0.35">
      <c r="A34" s="2" t="s">
        <v>69</v>
      </c>
      <c r="B34" s="2">
        <v>250</v>
      </c>
      <c r="C34" s="2" t="s">
        <v>44</v>
      </c>
      <c r="D34" s="2"/>
      <c r="E34" s="2"/>
      <c r="F34" s="2">
        <v>325</v>
      </c>
      <c r="G34" s="7">
        <f t="shared" si="9"/>
        <v>455</v>
      </c>
      <c r="H34" s="4"/>
      <c r="I34" s="4"/>
      <c r="J34" s="4"/>
      <c r="K34" s="4"/>
      <c r="L34" s="5"/>
      <c r="M34" s="6"/>
      <c r="N34" s="6">
        <v>1250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2729E3-EFFB-4F1C-8E75-C35BBAD65ABB}">
          <x14:formula1>
            <xm:f>'[items-21-05.xlsx]Resource'!#REF!</xm:f>
          </x14:formula1>
          <xm:sqref>C1:C30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AGARWAL .</dc:creator>
  <cp:lastModifiedBy>ANSHU AGARWAL .</cp:lastModifiedBy>
  <dcterms:created xsi:type="dcterms:W3CDTF">2026-05-23T14:33:18Z</dcterms:created>
  <dcterms:modified xsi:type="dcterms:W3CDTF">2026-05-24T12:59:21Z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2026-05-27T13:48:09Z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d61cdc40-f764-4c43-bb35-916a013c6d29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